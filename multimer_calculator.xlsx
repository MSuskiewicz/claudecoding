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i val="1"/>
      <color rgb="00595959"/>
    </font>
    <font>
      <b val="1"/>
      <color rgb="001F3864"/>
      <sz val="10"/>
    </font>
    <font>
      <color rgb="00404040"/>
      <sz val="9"/>
    </font>
    <font>
      <b val="1"/>
      <color rgb="00FFFFFF"/>
      <sz val="11"/>
    </font>
    <font>
      <b val="1"/>
      <color rgb="001F3864"/>
      <sz val="12"/>
    </font>
    <font/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10" fontId="0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10" fontId="2" fillId="8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Multimer Distribution (mass fraction)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'Calculator'!D18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'Calculator'!$A$19:$A$118</f>
            </numRef>
          </cat>
          <val>
            <numRef>
              <f>'Calculator'!$D$19:$D$118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n-mer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Mass fraction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17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2" customWidth="1" min="6" max="6"/>
    <col width="5" customWidth="1" min="7" max="7"/>
  </cols>
  <sheetData>
    <row r="1" ht="24" customHeight="1">
      <c r="A1" s="1" t="inlineStr">
        <is>
          <t>Isodesmic Multimer Equilibrium — Interactive Calculator</t>
        </is>
      </c>
    </row>
    <row r="3">
      <c r="A3" s="2" t="inlineStr">
        <is>
          <t>Kd (µM)</t>
        </is>
      </c>
      <c r="B3" s="3" t="n">
        <v>1</v>
      </c>
      <c r="C3" s="4" t="inlineStr">
        <is>
          <t>Dissociation constant (µM) — change freely</t>
        </is>
      </c>
    </row>
    <row r="4">
      <c r="A4" s="2" t="inlineStr">
        <is>
          <t>C_total (µM)</t>
        </is>
      </c>
      <c r="B4" s="3" t="n">
        <v>10</v>
      </c>
      <c r="C4" s="4" t="inlineStr">
        <is>
          <t>Total protein concentration (µM) — change freely</t>
        </is>
      </c>
    </row>
    <row r="5">
      <c r="A5" s="2" t="inlineStr">
        <is>
          <t>Max n-mer (Nmax)</t>
        </is>
      </c>
      <c r="B5" s="3" t="n">
        <v>12</v>
      </c>
      <c r="C5" s="4" t="inlineStr">
        <is>
          <t>Largest oligomer shown (2 – 100)</t>
        </is>
      </c>
    </row>
    <row r="7">
      <c r="A7" s="5" t="inlineStr">
        <is>
          <t>Free monomer [A1] (µM)</t>
        </is>
      </c>
      <c r="B7" s="6" t="n">
        <v>0.74369291</v>
      </c>
      <c r="C7" s="4" t="inlineStr">
        <is>
          <t>← solve via Goal Seek (see instructions)</t>
        </is>
      </c>
    </row>
    <row r="8">
      <c r="A8" s="7" t="inlineStr">
        <is>
          <t>Conservation check (Goal Seek → 0)</t>
        </is>
      </c>
      <c r="B8" s="8">
        <f>$B$4-SUM(C19:C118)</f>
        <v/>
      </c>
      <c r="C8" s="4" t="inlineStr">
        <is>
          <t>Use Goal Seek to set this to 0 by changing B7</t>
        </is>
      </c>
    </row>
    <row r="10">
      <c r="A10" s="9" t="inlineStr">
        <is>
          <t>HOW TO USE THIS CALCULATOR</t>
        </is>
      </c>
    </row>
    <row r="11">
      <c r="A11" s="10" t="inlineStr">
        <is>
          <t>1.  Enter Kd, C_total, Nmax in the yellow cells above.</t>
        </is>
      </c>
    </row>
    <row r="12">
      <c r="A12" s="10" t="inlineStr">
        <is>
          <t>2.  Enter an initial guess for [A1] in B7 (e.g. C_total / 10).</t>
        </is>
      </c>
    </row>
    <row r="13">
      <c r="A13" s="10" t="inlineStr">
        <is>
          <t>3.  Go to  Data  →  What-If Analysis  →  Goal Seek</t>
        </is>
      </c>
    </row>
    <row r="14">
      <c r="A14" s="10" t="inlineStr">
        <is>
          <t>4.  Set cell:  B8   |   To value:  0   |   By changing cell:  B7</t>
        </is>
      </c>
    </row>
    <row r="15">
      <c r="A15" s="10" t="inlineStr">
        <is>
          <t>5.  Click OK.  All species concentrations update automatically.</t>
        </is>
      </c>
    </row>
    <row r="16">
      <c r="A16" s="10" t="inlineStr">
        <is>
          <t>Note: columns B–E in the table are fully formula-driven.</t>
        </is>
      </c>
    </row>
    <row r="18">
      <c r="A18" s="11" t="inlineStr">
        <is>
          <t>n-mer</t>
        </is>
      </c>
      <c r="B18" s="11" t="inlineStr">
        <is>
          <t>[An] (µM)</t>
        </is>
      </c>
      <c r="C18" s="11" t="inlineStr">
        <is>
          <t>n·[An] (µM)</t>
        </is>
      </c>
      <c r="D18" s="11" t="inlineStr">
        <is>
          <t>Mass fraction</t>
        </is>
      </c>
      <c r="E18" s="11" t="inlineStr">
        <is>
          <t>Molar fraction</t>
        </is>
      </c>
    </row>
    <row r="19">
      <c r="A19" s="12" t="n">
        <v>1</v>
      </c>
      <c r="B19" s="13">
        <f>IF(A19&lt;=$B$5,$B$7^A19/$B$3^(A19-1),0)</f>
        <v/>
      </c>
      <c r="C19" s="13">
        <f>A19*B19</f>
        <v/>
      </c>
      <c r="D19" s="14">
        <f>IF(SUM(C19:C118)&gt;0,C19/SUM(C19:C118),0)</f>
        <v/>
      </c>
      <c r="E19" s="14">
        <f>IF(SUM(B19:B118)&gt;0,B19/SUM(B19:B118),0)</f>
        <v/>
      </c>
    </row>
    <row r="20">
      <c r="A20" s="15" t="n">
        <v>2</v>
      </c>
      <c r="B20" s="16">
        <f>IF(A20&lt;=$B$5,$B$7^A20/$B$3^(A20-1),0)</f>
        <v/>
      </c>
      <c r="C20" s="16">
        <f>A20*B20</f>
        <v/>
      </c>
      <c r="D20" s="17">
        <f>IF(SUM(C19:C118)&gt;0,C20/SUM(C19:C118),0)</f>
        <v/>
      </c>
      <c r="E20" s="17">
        <f>IF(SUM(B19:B118)&gt;0,B20/SUM(B19:B118),0)</f>
        <v/>
      </c>
    </row>
    <row r="21">
      <c r="A21" s="12" t="n">
        <v>3</v>
      </c>
      <c r="B21" s="13">
        <f>IF(A21&lt;=$B$5,$B$7^A21/$B$3^(A21-1),0)</f>
        <v/>
      </c>
      <c r="C21" s="13">
        <f>A21*B21</f>
        <v/>
      </c>
      <c r="D21" s="14">
        <f>IF(SUM(C19:C118)&gt;0,C21/SUM(C19:C118),0)</f>
        <v/>
      </c>
      <c r="E21" s="14">
        <f>IF(SUM(B19:B118)&gt;0,B21/SUM(B19:B118),0)</f>
        <v/>
      </c>
    </row>
    <row r="22">
      <c r="A22" s="15" t="n">
        <v>4</v>
      </c>
      <c r="B22" s="16">
        <f>IF(A22&lt;=$B$5,$B$7^A22/$B$3^(A22-1),0)</f>
        <v/>
      </c>
      <c r="C22" s="16">
        <f>A22*B22</f>
        <v/>
      </c>
      <c r="D22" s="17">
        <f>IF(SUM(C19:C118)&gt;0,C22/SUM(C19:C118),0)</f>
        <v/>
      </c>
      <c r="E22" s="17">
        <f>IF(SUM(B19:B118)&gt;0,B22/SUM(B19:B118),0)</f>
        <v/>
      </c>
    </row>
    <row r="23">
      <c r="A23" s="12" t="n">
        <v>5</v>
      </c>
      <c r="B23" s="13">
        <f>IF(A23&lt;=$B$5,$B$7^A23/$B$3^(A23-1),0)</f>
        <v/>
      </c>
      <c r="C23" s="13">
        <f>A23*B23</f>
        <v/>
      </c>
      <c r="D23" s="14">
        <f>IF(SUM(C19:C118)&gt;0,C23/SUM(C19:C118),0)</f>
        <v/>
      </c>
      <c r="E23" s="14">
        <f>IF(SUM(B19:B118)&gt;0,B23/SUM(B19:B118),0)</f>
        <v/>
      </c>
    </row>
    <row r="24">
      <c r="A24" s="15" t="n">
        <v>6</v>
      </c>
      <c r="B24" s="16">
        <f>IF(A24&lt;=$B$5,$B$7^A24/$B$3^(A24-1),0)</f>
        <v/>
      </c>
      <c r="C24" s="16">
        <f>A24*B24</f>
        <v/>
      </c>
      <c r="D24" s="17">
        <f>IF(SUM(C19:C118)&gt;0,C24/SUM(C19:C118),0)</f>
        <v/>
      </c>
      <c r="E24" s="17">
        <f>IF(SUM(B19:B118)&gt;0,B24/SUM(B19:B118),0)</f>
        <v/>
      </c>
    </row>
    <row r="25">
      <c r="A25" s="12" t="n">
        <v>7</v>
      </c>
      <c r="B25" s="13">
        <f>IF(A25&lt;=$B$5,$B$7^A25/$B$3^(A25-1),0)</f>
        <v/>
      </c>
      <c r="C25" s="13">
        <f>A25*B25</f>
        <v/>
      </c>
      <c r="D25" s="14">
        <f>IF(SUM(C19:C118)&gt;0,C25/SUM(C19:C118),0)</f>
        <v/>
      </c>
      <c r="E25" s="14">
        <f>IF(SUM(B19:B118)&gt;0,B25/SUM(B19:B118),0)</f>
        <v/>
      </c>
    </row>
    <row r="26">
      <c r="A26" s="15" t="n">
        <v>8</v>
      </c>
      <c r="B26" s="16">
        <f>IF(A26&lt;=$B$5,$B$7^A26/$B$3^(A26-1),0)</f>
        <v/>
      </c>
      <c r="C26" s="16">
        <f>A26*B26</f>
        <v/>
      </c>
      <c r="D26" s="17">
        <f>IF(SUM(C19:C118)&gt;0,C26/SUM(C19:C118),0)</f>
        <v/>
      </c>
      <c r="E26" s="17">
        <f>IF(SUM(B19:B118)&gt;0,B26/SUM(B19:B118),0)</f>
        <v/>
      </c>
    </row>
    <row r="27">
      <c r="A27" s="12" t="n">
        <v>9</v>
      </c>
      <c r="B27" s="13">
        <f>IF(A27&lt;=$B$5,$B$7^A27/$B$3^(A27-1),0)</f>
        <v/>
      </c>
      <c r="C27" s="13">
        <f>A27*B27</f>
        <v/>
      </c>
      <c r="D27" s="14">
        <f>IF(SUM(C19:C118)&gt;0,C27/SUM(C19:C118),0)</f>
        <v/>
      </c>
      <c r="E27" s="14">
        <f>IF(SUM(B19:B118)&gt;0,B27/SUM(B19:B118),0)</f>
        <v/>
      </c>
    </row>
    <row r="28">
      <c r="A28" s="15" t="n">
        <v>10</v>
      </c>
      <c r="B28" s="16">
        <f>IF(A28&lt;=$B$5,$B$7^A28/$B$3^(A28-1),0)</f>
        <v/>
      </c>
      <c r="C28" s="16">
        <f>A28*B28</f>
        <v/>
      </c>
      <c r="D28" s="17">
        <f>IF(SUM(C19:C118)&gt;0,C28/SUM(C19:C118),0)</f>
        <v/>
      </c>
      <c r="E28" s="17">
        <f>IF(SUM(B19:B118)&gt;0,B28/SUM(B19:B118),0)</f>
        <v/>
      </c>
    </row>
    <row r="29">
      <c r="A29" s="12" t="n">
        <v>11</v>
      </c>
      <c r="B29" s="13">
        <f>IF(A29&lt;=$B$5,$B$7^A29/$B$3^(A29-1),0)</f>
        <v/>
      </c>
      <c r="C29" s="13">
        <f>A29*B29</f>
        <v/>
      </c>
      <c r="D29" s="14">
        <f>IF(SUM(C19:C118)&gt;0,C29/SUM(C19:C118),0)</f>
        <v/>
      </c>
      <c r="E29" s="14">
        <f>IF(SUM(B19:B118)&gt;0,B29/SUM(B19:B118),0)</f>
        <v/>
      </c>
    </row>
    <row r="30">
      <c r="A30" s="15" t="n">
        <v>12</v>
      </c>
      <c r="B30" s="16">
        <f>IF(A30&lt;=$B$5,$B$7^A30/$B$3^(A30-1),0)</f>
        <v/>
      </c>
      <c r="C30" s="16">
        <f>A30*B30</f>
        <v/>
      </c>
      <c r="D30" s="17">
        <f>IF(SUM(C19:C118)&gt;0,C30/SUM(C19:C118),0)</f>
        <v/>
      </c>
      <c r="E30" s="17">
        <f>IF(SUM(B19:B118)&gt;0,B30/SUM(B19:B118),0)</f>
        <v/>
      </c>
    </row>
    <row r="31">
      <c r="A31" s="12" t="n">
        <v>13</v>
      </c>
      <c r="B31" s="13">
        <f>IF(A31&lt;=$B$5,$B$7^A31/$B$3^(A31-1),0)</f>
        <v/>
      </c>
      <c r="C31" s="13">
        <f>A31*B31</f>
        <v/>
      </c>
      <c r="D31" s="14">
        <f>IF(SUM(C19:C118)&gt;0,C31/SUM(C19:C118),0)</f>
        <v/>
      </c>
      <c r="E31" s="14">
        <f>IF(SUM(B19:B118)&gt;0,B31/SUM(B19:B118),0)</f>
        <v/>
      </c>
    </row>
    <row r="32">
      <c r="A32" s="15" t="n">
        <v>14</v>
      </c>
      <c r="B32" s="16">
        <f>IF(A32&lt;=$B$5,$B$7^A32/$B$3^(A32-1),0)</f>
        <v/>
      </c>
      <c r="C32" s="16">
        <f>A32*B32</f>
        <v/>
      </c>
      <c r="D32" s="17">
        <f>IF(SUM(C19:C118)&gt;0,C32/SUM(C19:C118),0)</f>
        <v/>
      </c>
      <c r="E32" s="17">
        <f>IF(SUM(B19:B118)&gt;0,B32/SUM(B19:B118),0)</f>
        <v/>
      </c>
    </row>
    <row r="33">
      <c r="A33" s="12" t="n">
        <v>15</v>
      </c>
      <c r="B33" s="13">
        <f>IF(A33&lt;=$B$5,$B$7^A33/$B$3^(A33-1),0)</f>
        <v/>
      </c>
      <c r="C33" s="13">
        <f>A33*B33</f>
        <v/>
      </c>
      <c r="D33" s="14">
        <f>IF(SUM(C19:C118)&gt;0,C33/SUM(C19:C118),0)</f>
        <v/>
      </c>
      <c r="E33" s="14">
        <f>IF(SUM(B19:B118)&gt;0,B33/SUM(B19:B118),0)</f>
        <v/>
      </c>
    </row>
    <row r="34">
      <c r="A34" s="15" t="n">
        <v>16</v>
      </c>
      <c r="B34" s="16">
        <f>IF(A34&lt;=$B$5,$B$7^A34/$B$3^(A34-1),0)</f>
        <v/>
      </c>
      <c r="C34" s="16">
        <f>A34*B34</f>
        <v/>
      </c>
      <c r="D34" s="17">
        <f>IF(SUM(C19:C118)&gt;0,C34/SUM(C19:C118),0)</f>
        <v/>
      </c>
      <c r="E34" s="17">
        <f>IF(SUM(B19:B118)&gt;0,B34/SUM(B19:B118),0)</f>
        <v/>
      </c>
    </row>
    <row r="35">
      <c r="A35" s="12" t="n">
        <v>17</v>
      </c>
      <c r="B35" s="13">
        <f>IF(A35&lt;=$B$5,$B$7^A35/$B$3^(A35-1),0)</f>
        <v/>
      </c>
      <c r="C35" s="13">
        <f>A35*B35</f>
        <v/>
      </c>
      <c r="D35" s="14">
        <f>IF(SUM(C19:C118)&gt;0,C35/SUM(C19:C118),0)</f>
        <v/>
      </c>
      <c r="E35" s="14">
        <f>IF(SUM(B19:B118)&gt;0,B35/SUM(B19:B118),0)</f>
        <v/>
      </c>
    </row>
    <row r="36">
      <c r="A36" s="15" t="n">
        <v>18</v>
      </c>
      <c r="B36" s="16">
        <f>IF(A36&lt;=$B$5,$B$7^A36/$B$3^(A36-1),0)</f>
        <v/>
      </c>
      <c r="C36" s="16">
        <f>A36*B36</f>
        <v/>
      </c>
      <c r="D36" s="17">
        <f>IF(SUM(C19:C118)&gt;0,C36/SUM(C19:C118),0)</f>
        <v/>
      </c>
      <c r="E36" s="17">
        <f>IF(SUM(B19:B118)&gt;0,B36/SUM(B19:B118),0)</f>
        <v/>
      </c>
    </row>
    <row r="37">
      <c r="A37" s="12" t="n">
        <v>19</v>
      </c>
      <c r="B37" s="13">
        <f>IF(A37&lt;=$B$5,$B$7^A37/$B$3^(A37-1),0)</f>
        <v/>
      </c>
      <c r="C37" s="13">
        <f>A37*B37</f>
        <v/>
      </c>
      <c r="D37" s="14">
        <f>IF(SUM(C19:C118)&gt;0,C37/SUM(C19:C118),0)</f>
        <v/>
      </c>
      <c r="E37" s="14">
        <f>IF(SUM(B19:B118)&gt;0,B37/SUM(B19:B118),0)</f>
        <v/>
      </c>
    </row>
    <row r="38">
      <c r="A38" s="15" t="n">
        <v>20</v>
      </c>
      <c r="B38" s="16">
        <f>IF(A38&lt;=$B$5,$B$7^A38/$B$3^(A38-1),0)</f>
        <v/>
      </c>
      <c r="C38" s="16">
        <f>A38*B38</f>
        <v/>
      </c>
      <c r="D38" s="17">
        <f>IF(SUM(C19:C118)&gt;0,C38/SUM(C19:C118),0)</f>
        <v/>
      </c>
      <c r="E38" s="17">
        <f>IF(SUM(B19:B118)&gt;0,B38/SUM(B19:B118),0)</f>
        <v/>
      </c>
    </row>
    <row r="39">
      <c r="A39" s="12" t="n">
        <v>21</v>
      </c>
      <c r="B39" s="13">
        <f>IF(A39&lt;=$B$5,$B$7^A39/$B$3^(A39-1),0)</f>
        <v/>
      </c>
      <c r="C39" s="13">
        <f>A39*B39</f>
        <v/>
      </c>
      <c r="D39" s="14">
        <f>IF(SUM(C19:C118)&gt;0,C39/SUM(C19:C118),0)</f>
        <v/>
      </c>
      <c r="E39" s="14">
        <f>IF(SUM(B19:B118)&gt;0,B39/SUM(B19:B118),0)</f>
        <v/>
      </c>
    </row>
    <row r="40">
      <c r="A40" s="15" t="n">
        <v>22</v>
      </c>
      <c r="B40" s="16">
        <f>IF(A40&lt;=$B$5,$B$7^A40/$B$3^(A40-1),0)</f>
        <v/>
      </c>
      <c r="C40" s="16">
        <f>A40*B40</f>
        <v/>
      </c>
      <c r="D40" s="17">
        <f>IF(SUM(C19:C118)&gt;0,C40/SUM(C19:C118),0)</f>
        <v/>
      </c>
      <c r="E40" s="17">
        <f>IF(SUM(B19:B118)&gt;0,B40/SUM(B19:B118),0)</f>
        <v/>
      </c>
    </row>
    <row r="41">
      <c r="A41" s="12" t="n">
        <v>23</v>
      </c>
      <c r="B41" s="13">
        <f>IF(A41&lt;=$B$5,$B$7^A41/$B$3^(A41-1),0)</f>
        <v/>
      </c>
      <c r="C41" s="13">
        <f>A41*B41</f>
        <v/>
      </c>
      <c r="D41" s="14">
        <f>IF(SUM(C19:C118)&gt;0,C41/SUM(C19:C118),0)</f>
        <v/>
      </c>
      <c r="E41" s="14">
        <f>IF(SUM(B19:B118)&gt;0,B41/SUM(B19:B118),0)</f>
        <v/>
      </c>
    </row>
    <row r="42">
      <c r="A42" s="15" t="n">
        <v>24</v>
      </c>
      <c r="B42" s="16">
        <f>IF(A42&lt;=$B$5,$B$7^A42/$B$3^(A42-1),0)</f>
        <v/>
      </c>
      <c r="C42" s="16">
        <f>A42*B42</f>
        <v/>
      </c>
      <c r="D42" s="17">
        <f>IF(SUM(C19:C118)&gt;0,C42/SUM(C19:C118),0)</f>
        <v/>
      </c>
      <c r="E42" s="17">
        <f>IF(SUM(B19:B118)&gt;0,B42/SUM(B19:B118),0)</f>
        <v/>
      </c>
    </row>
    <row r="43">
      <c r="A43" s="12" t="n">
        <v>25</v>
      </c>
      <c r="B43" s="13">
        <f>IF(A43&lt;=$B$5,$B$7^A43/$B$3^(A43-1),0)</f>
        <v/>
      </c>
      <c r="C43" s="13">
        <f>A43*B43</f>
        <v/>
      </c>
      <c r="D43" s="14">
        <f>IF(SUM(C19:C118)&gt;0,C43/SUM(C19:C118),0)</f>
        <v/>
      </c>
      <c r="E43" s="14">
        <f>IF(SUM(B19:B118)&gt;0,B43/SUM(B19:B118),0)</f>
        <v/>
      </c>
    </row>
    <row r="44">
      <c r="A44" s="15" t="n">
        <v>26</v>
      </c>
      <c r="B44" s="16">
        <f>IF(A44&lt;=$B$5,$B$7^A44/$B$3^(A44-1),0)</f>
        <v/>
      </c>
      <c r="C44" s="16">
        <f>A44*B44</f>
        <v/>
      </c>
      <c r="D44" s="17">
        <f>IF(SUM(C19:C118)&gt;0,C44/SUM(C19:C118),0)</f>
        <v/>
      </c>
      <c r="E44" s="17">
        <f>IF(SUM(B19:B118)&gt;0,B44/SUM(B19:B118),0)</f>
        <v/>
      </c>
    </row>
    <row r="45">
      <c r="A45" s="12" t="n">
        <v>27</v>
      </c>
      <c r="B45" s="13">
        <f>IF(A45&lt;=$B$5,$B$7^A45/$B$3^(A45-1),0)</f>
        <v/>
      </c>
      <c r="C45" s="13">
        <f>A45*B45</f>
        <v/>
      </c>
      <c r="D45" s="14">
        <f>IF(SUM(C19:C118)&gt;0,C45/SUM(C19:C118),0)</f>
        <v/>
      </c>
      <c r="E45" s="14">
        <f>IF(SUM(B19:B118)&gt;0,B45/SUM(B19:B118),0)</f>
        <v/>
      </c>
    </row>
    <row r="46">
      <c r="A46" s="15" t="n">
        <v>28</v>
      </c>
      <c r="B46" s="16">
        <f>IF(A46&lt;=$B$5,$B$7^A46/$B$3^(A46-1),0)</f>
        <v/>
      </c>
      <c r="C46" s="16">
        <f>A46*B46</f>
        <v/>
      </c>
      <c r="D46" s="17">
        <f>IF(SUM(C19:C118)&gt;0,C46/SUM(C19:C118),0)</f>
        <v/>
      </c>
      <c r="E46" s="17">
        <f>IF(SUM(B19:B118)&gt;0,B46/SUM(B19:B118),0)</f>
        <v/>
      </c>
    </row>
    <row r="47">
      <c r="A47" s="12" t="n">
        <v>29</v>
      </c>
      <c r="B47" s="13">
        <f>IF(A47&lt;=$B$5,$B$7^A47/$B$3^(A47-1),0)</f>
        <v/>
      </c>
      <c r="C47" s="13">
        <f>A47*B47</f>
        <v/>
      </c>
      <c r="D47" s="14">
        <f>IF(SUM(C19:C118)&gt;0,C47/SUM(C19:C118),0)</f>
        <v/>
      </c>
      <c r="E47" s="14">
        <f>IF(SUM(B19:B118)&gt;0,B47/SUM(B19:B118),0)</f>
        <v/>
      </c>
    </row>
    <row r="48">
      <c r="A48" s="15" t="n">
        <v>30</v>
      </c>
      <c r="B48" s="16">
        <f>IF(A48&lt;=$B$5,$B$7^A48/$B$3^(A48-1),0)</f>
        <v/>
      </c>
      <c r="C48" s="16">
        <f>A48*B48</f>
        <v/>
      </c>
      <c r="D48" s="17">
        <f>IF(SUM(C19:C118)&gt;0,C48/SUM(C19:C118),0)</f>
        <v/>
      </c>
      <c r="E48" s="17">
        <f>IF(SUM(B19:B118)&gt;0,B48/SUM(B19:B118),0)</f>
        <v/>
      </c>
    </row>
    <row r="49">
      <c r="A49" s="12" t="n">
        <v>31</v>
      </c>
      <c r="B49" s="13">
        <f>IF(A49&lt;=$B$5,$B$7^A49/$B$3^(A49-1),0)</f>
        <v/>
      </c>
      <c r="C49" s="13">
        <f>A49*B49</f>
        <v/>
      </c>
      <c r="D49" s="14">
        <f>IF(SUM(C19:C118)&gt;0,C49/SUM(C19:C118),0)</f>
        <v/>
      </c>
      <c r="E49" s="14">
        <f>IF(SUM(B19:B118)&gt;0,B49/SUM(B19:B118),0)</f>
        <v/>
      </c>
    </row>
    <row r="50">
      <c r="A50" s="15" t="n">
        <v>32</v>
      </c>
      <c r="B50" s="16">
        <f>IF(A50&lt;=$B$5,$B$7^A50/$B$3^(A50-1),0)</f>
        <v/>
      </c>
      <c r="C50" s="16">
        <f>A50*B50</f>
        <v/>
      </c>
      <c r="D50" s="17">
        <f>IF(SUM(C19:C118)&gt;0,C50/SUM(C19:C118),0)</f>
        <v/>
      </c>
      <c r="E50" s="17">
        <f>IF(SUM(B19:B118)&gt;0,B50/SUM(B19:B118),0)</f>
        <v/>
      </c>
    </row>
    <row r="51">
      <c r="A51" s="12" t="n">
        <v>33</v>
      </c>
      <c r="B51" s="13">
        <f>IF(A51&lt;=$B$5,$B$7^A51/$B$3^(A51-1),0)</f>
        <v/>
      </c>
      <c r="C51" s="13">
        <f>A51*B51</f>
        <v/>
      </c>
      <c r="D51" s="14">
        <f>IF(SUM(C19:C118)&gt;0,C51/SUM(C19:C118),0)</f>
        <v/>
      </c>
      <c r="E51" s="14">
        <f>IF(SUM(B19:B118)&gt;0,B51/SUM(B19:B118),0)</f>
        <v/>
      </c>
    </row>
    <row r="52">
      <c r="A52" s="15" t="n">
        <v>34</v>
      </c>
      <c r="B52" s="16">
        <f>IF(A52&lt;=$B$5,$B$7^A52/$B$3^(A52-1),0)</f>
        <v/>
      </c>
      <c r="C52" s="16">
        <f>A52*B52</f>
        <v/>
      </c>
      <c r="D52" s="17">
        <f>IF(SUM(C19:C118)&gt;0,C52/SUM(C19:C118),0)</f>
        <v/>
      </c>
      <c r="E52" s="17">
        <f>IF(SUM(B19:B118)&gt;0,B52/SUM(B19:B118),0)</f>
        <v/>
      </c>
    </row>
    <row r="53">
      <c r="A53" s="12" t="n">
        <v>35</v>
      </c>
      <c r="B53" s="13">
        <f>IF(A53&lt;=$B$5,$B$7^A53/$B$3^(A53-1),0)</f>
        <v/>
      </c>
      <c r="C53" s="13">
        <f>A53*B53</f>
        <v/>
      </c>
      <c r="D53" s="14">
        <f>IF(SUM(C19:C118)&gt;0,C53/SUM(C19:C118),0)</f>
        <v/>
      </c>
      <c r="E53" s="14">
        <f>IF(SUM(B19:B118)&gt;0,B53/SUM(B19:B118),0)</f>
        <v/>
      </c>
    </row>
    <row r="54">
      <c r="A54" s="15" t="n">
        <v>36</v>
      </c>
      <c r="B54" s="16">
        <f>IF(A54&lt;=$B$5,$B$7^A54/$B$3^(A54-1),0)</f>
        <v/>
      </c>
      <c r="C54" s="16">
        <f>A54*B54</f>
        <v/>
      </c>
      <c r="D54" s="17">
        <f>IF(SUM(C19:C118)&gt;0,C54/SUM(C19:C118),0)</f>
        <v/>
      </c>
      <c r="E54" s="17">
        <f>IF(SUM(B19:B118)&gt;0,B54/SUM(B19:B118),0)</f>
        <v/>
      </c>
    </row>
    <row r="55">
      <c r="A55" s="12" t="n">
        <v>37</v>
      </c>
      <c r="B55" s="13">
        <f>IF(A55&lt;=$B$5,$B$7^A55/$B$3^(A55-1),0)</f>
        <v/>
      </c>
      <c r="C55" s="13">
        <f>A55*B55</f>
        <v/>
      </c>
      <c r="D55" s="14">
        <f>IF(SUM(C19:C118)&gt;0,C55/SUM(C19:C118),0)</f>
        <v/>
      </c>
      <c r="E55" s="14">
        <f>IF(SUM(B19:B118)&gt;0,B55/SUM(B19:B118),0)</f>
        <v/>
      </c>
    </row>
    <row r="56">
      <c r="A56" s="15" t="n">
        <v>38</v>
      </c>
      <c r="B56" s="16">
        <f>IF(A56&lt;=$B$5,$B$7^A56/$B$3^(A56-1),0)</f>
        <v/>
      </c>
      <c r="C56" s="16">
        <f>A56*B56</f>
        <v/>
      </c>
      <c r="D56" s="17">
        <f>IF(SUM(C19:C118)&gt;0,C56/SUM(C19:C118),0)</f>
        <v/>
      </c>
      <c r="E56" s="17">
        <f>IF(SUM(B19:B118)&gt;0,B56/SUM(B19:B118),0)</f>
        <v/>
      </c>
    </row>
    <row r="57">
      <c r="A57" s="12" t="n">
        <v>39</v>
      </c>
      <c r="B57" s="13">
        <f>IF(A57&lt;=$B$5,$B$7^A57/$B$3^(A57-1),0)</f>
        <v/>
      </c>
      <c r="C57" s="13">
        <f>A57*B57</f>
        <v/>
      </c>
      <c r="D57" s="14">
        <f>IF(SUM(C19:C118)&gt;0,C57/SUM(C19:C118),0)</f>
        <v/>
      </c>
      <c r="E57" s="14">
        <f>IF(SUM(B19:B118)&gt;0,B57/SUM(B19:B118),0)</f>
        <v/>
      </c>
    </row>
    <row r="58">
      <c r="A58" s="15" t="n">
        <v>40</v>
      </c>
      <c r="B58" s="16">
        <f>IF(A58&lt;=$B$5,$B$7^A58/$B$3^(A58-1),0)</f>
        <v/>
      </c>
      <c r="C58" s="16">
        <f>A58*B58</f>
        <v/>
      </c>
      <c r="D58" s="17">
        <f>IF(SUM(C19:C118)&gt;0,C58/SUM(C19:C118),0)</f>
        <v/>
      </c>
      <c r="E58" s="17">
        <f>IF(SUM(B19:B118)&gt;0,B58/SUM(B19:B118),0)</f>
        <v/>
      </c>
    </row>
    <row r="59">
      <c r="A59" s="12" t="n">
        <v>41</v>
      </c>
      <c r="B59" s="13">
        <f>IF(A59&lt;=$B$5,$B$7^A59/$B$3^(A59-1),0)</f>
        <v/>
      </c>
      <c r="C59" s="13">
        <f>A59*B59</f>
        <v/>
      </c>
      <c r="D59" s="14">
        <f>IF(SUM(C19:C118)&gt;0,C59/SUM(C19:C118),0)</f>
        <v/>
      </c>
      <c r="E59" s="14">
        <f>IF(SUM(B19:B118)&gt;0,B59/SUM(B19:B118),0)</f>
        <v/>
      </c>
    </row>
    <row r="60">
      <c r="A60" s="15" t="n">
        <v>42</v>
      </c>
      <c r="B60" s="16">
        <f>IF(A60&lt;=$B$5,$B$7^A60/$B$3^(A60-1),0)</f>
        <v/>
      </c>
      <c r="C60" s="16">
        <f>A60*B60</f>
        <v/>
      </c>
      <c r="D60" s="17">
        <f>IF(SUM(C19:C118)&gt;0,C60/SUM(C19:C118),0)</f>
        <v/>
      </c>
      <c r="E60" s="17">
        <f>IF(SUM(B19:B118)&gt;0,B60/SUM(B19:B118),0)</f>
        <v/>
      </c>
    </row>
    <row r="61">
      <c r="A61" s="12" t="n">
        <v>43</v>
      </c>
      <c r="B61" s="13">
        <f>IF(A61&lt;=$B$5,$B$7^A61/$B$3^(A61-1),0)</f>
        <v/>
      </c>
      <c r="C61" s="13">
        <f>A61*B61</f>
        <v/>
      </c>
      <c r="D61" s="14">
        <f>IF(SUM(C19:C118)&gt;0,C61/SUM(C19:C118),0)</f>
        <v/>
      </c>
      <c r="E61" s="14">
        <f>IF(SUM(B19:B118)&gt;0,B61/SUM(B19:B118),0)</f>
        <v/>
      </c>
    </row>
    <row r="62">
      <c r="A62" s="15" t="n">
        <v>44</v>
      </c>
      <c r="B62" s="16">
        <f>IF(A62&lt;=$B$5,$B$7^A62/$B$3^(A62-1),0)</f>
        <v/>
      </c>
      <c r="C62" s="16">
        <f>A62*B62</f>
        <v/>
      </c>
      <c r="D62" s="17">
        <f>IF(SUM(C19:C118)&gt;0,C62/SUM(C19:C118),0)</f>
        <v/>
      </c>
      <c r="E62" s="17">
        <f>IF(SUM(B19:B118)&gt;0,B62/SUM(B19:B118),0)</f>
        <v/>
      </c>
    </row>
    <row r="63">
      <c r="A63" s="12" t="n">
        <v>45</v>
      </c>
      <c r="B63" s="13">
        <f>IF(A63&lt;=$B$5,$B$7^A63/$B$3^(A63-1),0)</f>
        <v/>
      </c>
      <c r="C63" s="13">
        <f>A63*B63</f>
        <v/>
      </c>
      <c r="D63" s="14">
        <f>IF(SUM(C19:C118)&gt;0,C63/SUM(C19:C118),0)</f>
        <v/>
      </c>
      <c r="E63" s="14">
        <f>IF(SUM(B19:B118)&gt;0,B63/SUM(B19:B118),0)</f>
        <v/>
      </c>
    </row>
    <row r="64">
      <c r="A64" s="15" t="n">
        <v>46</v>
      </c>
      <c r="B64" s="16">
        <f>IF(A64&lt;=$B$5,$B$7^A64/$B$3^(A64-1),0)</f>
        <v/>
      </c>
      <c r="C64" s="16">
        <f>A64*B64</f>
        <v/>
      </c>
      <c r="D64" s="17">
        <f>IF(SUM(C19:C118)&gt;0,C64/SUM(C19:C118),0)</f>
        <v/>
      </c>
      <c r="E64" s="17">
        <f>IF(SUM(B19:B118)&gt;0,B64/SUM(B19:B118),0)</f>
        <v/>
      </c>
    </row>
    <row r="65">
      <c r="A65" s="12" t="n">
        <v>47</v>
      </c>
      <c r="B65" s="13">
        <f>IF(A65&lt;=$B$5,$B$7^A65/$B$3^(A65-1),0)</f>
        <v/>
      </c>
      <c r="C65" s="13">
        <f>A65*B65</f>
        <v/>
      </c>
      <c r="D65" s="14">
        <f>IF(SUM(C19:C118)&gt;0,C65/SUM(C19:C118),0)</f>
        <v/>
      </c>
      <c r="E65" s="14">
        <f>IF(SUM(B19:B118)&gt;0,B65/SUM(B19:B118),0)</f>
        <v/>
      </c>
    </row>
    <row r="66">
      <c r="A66" s="15" t="n">
        <v>48</v>
      </c>
      <c r="B66" s="16">
        <f>IF(A66&lt;=$B$5,$B$7^A66/$B$3^(A66-1),0)</f>
        <v/>
      </c>
      <c r="C66" s="16">
        <f>A66*B66</f>
        <v/>
      </c>
      <c r="D66" s="17">
        <f>IF(SUM(C19:C118)&gt;0,C66/SUM(C19:C118),0)</f>
        <v/>
      </c>
      <c r="E66" s="17">
        <f>IF(SUM(B19:B118)&gt;0,B66/SUM(B19:B118),0)</f>
        <v/>
      </c>
    </row>
    <row r="67">
      <c r="A67" s="12" t="n">
        <v>49</v>
      </c>
      <c r="B67" s="13">
        <f>IF(A67&lt;=$B$5,$B$7^A67/$B$3^(A67-1),0)</f>
        <v/>
      </c>
      <c r="C67" s="13">
        <f>A67*B67</f>
        <v/>
      </c>
      <c r="D67" s="14">
        <f>IF(SUM(C19:C118)&gt;0,C67/SUM(C19:C118),0)</f>
        <v/>
      </c>
      <c r="E67" s="14">
        <f>IF(SUM(B19:B118)&gt;0,B67/SUM(B19:B118),0)</f>
        <v/>
      </c>
    </row>
    <row r="68">
      <c r="A68" s="15" t="n">
        <v>50</v>
      </c>
      <c r="B68" s="16">
        <f>IF(A68&lt;=$B$5,$B$7^A68/$B$3^(A68-1),0)</f>
        <v/>
      </c>
      <c r="C68" s="16">
        <f>A68*B68</f>
        <v/>
      </c>
      <c r="D68" s="17">
        <f>IF(SUM(C19:C118)&gt;0,C68/SUM(C19:C118),0)</f>
        <v/>
      </c>
      <c r="E68" s="17">
        <f>IF(SUM(B19:B118)&gt;0,B68/SUM(B19:B118),0)</f>
        <v/>
      </c>
    </row>
    <row r="69">
      <c r="A69" s="12" t="n">
        <v>51</v>
      </c>
      <c r="B69" s="13">
        <f>IF(A69&lt;=$B$5,$B$7^A69/$B$3^(A69-1),0)</f>
        <v/>
      </c>
      <c r="C69" s="13">
        <f>A69*B69</f>
        <v/>
      </c>
      <c r="D69" s="14">
        <f>IF(SUM(C19:C118)&gt;0,C69/SUM(C19:C118),0)</f>
        <v/>
      </c>
      <c r="E69" s="14">
        <f>IF(SUM(B19:B118)&gt;0,B69/SUM(B19:B118),0)</f>
        <v/>
      </c>
    </row>
    <row r="70">
      <c r="A70" s="15" t="n">
        <v>52</v>
      </c>
      <c r="B70" s="16">
        <f>IF(A70&lt;=$B$5,$B$7^A70/$B$3^(A70-1),0)</f>
        <v/>
      </c>
      <c r="C70" s="16">
        <f>A70*B70</f>
        <v/>
      </c>
      <c r="D70" s="17">
        <f>IF(SUM(C19:C118)&gt;0,C70/SUM(C19:C118),0)</f>
        <v/>
      </c>
      <c r="E70" s="17">
        <f>IF(SUM(B19:B118)&gt;0,B70/SUM(B19:B118),0)</f>
        <v/>
      </c>
    </row>
    <row r="71">
      <c r="A71" s="12" t="n">
        <v>53</v>
      </c>
      <c r="B71" s="13">
        <f>IF(A71&lt;=$B$5,$B$7^A71/$B$3^(A71-1),0)</f>
        <v/>
      </c>
      <c r="C71" s="13">
        <f>A71*B71</f>
        <v/>
      </c>
      <c r="D71" s="14">
        <f>IF(SUM(C19:C118)&gt;0,C71/SUM(C19:C118),0)</f>
        <v/>
      </c>
      <c r="E71" s="14">
        <f>IF(SUM(B19:B118)&gt;0,B71/SUM(B19:B118),0)</f>
        <v/>
      </c>
    </row>
    <row r="72">
      <c r="A72" s="15" t="n">
        <v>54</v>
      </c>
      <c r="B72" s="16">
        <f>IF(A72&lt;=$B$5,$B$7^A72/$B$3^(A72-1),0)</f>
        <v/>
      </c>
      <c r="C72" s="16">
        <f>A72*B72</f>
        <v/>
      </c>
      <c r="D72" s="17">
        <f>IF(SUM(C19:C118)&gt;0,C72/SUM(C19:C118),0)</f>
        <v/>
      </c>
      <c r="E72" s="17">
        <f>IF(SUM(B19:B118)&gt;0,B72/SUM(B19:B118),0)</f>
        <v/>
      </c>
    </row>
    <row r="73">
      <c r="A73" s="12" t="n">
        <v>55</v>
      </c>
      <c r="B73" s="13">
        <f>IF(A73&lt;=$B$5,$B$7^A73/$B$3^(A73-1),0)</f>
        <v/>
      </c>
      <c r="C73" s="13">
        <f>A73*B73</f>
        <v/>
      </c>
      <c r="D73" s="14">
        <f>IF(SUM(C19:C118)&gt;0,C73/SUM(C19:C118),0)</f>
        <v/>
      </c>
      <c r="E73" s="14">
        <f>IF(SUM(B19:B118)&gt;0,B73/SUM(B19:B118),0)</f>
        <v/>
      </c>
    </row>
    <row r="74">
      <c r="A74" s="15" t="n">
        <v>56</v>
      </c>
      <c r="B74" s="16">
        <f>IF(A74&lt;=$B$5,$B$7^A74/$B$3^(A74-1),0)</f>
        <v/>
      </c>
      <c r="C74" s="16">
        <f>A74*B74</f>
        <v/>
      </c>
      <c r="D74" s="17">
        <f>IF(SUM(C19:C118)&gt;0,C74/SUM(C19:C118),0)</f>
        <v/>
      </c>
      <c r="E74" s="17">
        <f>IF(SUM(B19:B118)&gt;0,B74/SUM(B19:B118),0)</f>
        <v/>
      </c>
    </row>
    <row r="75">
      <c r="A75" s="12" t="n">
        <v>57</v>
      </c>
      <c r="B75" s="13">
        <f>IF(A75&lt;=$B$5,$B$7^A75/$B$3^(A75-1),0)</f>
        <v/>
      </c>
      <c r="C75" s="13">
        <f>A75*B75</f>
        <v/>
      </c>
      <c r="D75" s="14">
        <f>IF(SUM(C19:C118)&gt;0,C75/SUM(C19:C118),0)</f>
        <v/>
      </c>
      <c r="E75" s="14">
        <f>IF(SUM(B19:B118)&gt;0,B75/SUM(B19:B118),0)</f>
        <v/>
      </c>
    </row>
    <row r="76">
      <c r="A76" s="15" t="n">
        <v>58</v>
      </c>
      <c r="B76" s="16">
        <f>IF(A76&lt;=$B$5,$B$7^A76/$B$3^(A76-1),0)</f>
        <v/>
      </c>
      <c r="C76" s="16">
        <f>A76*B76</f>
        <v/>
      </c>
      <c r="D76" s="17">
        <f>IF(SUM(C19:C118)&gt;0,C76/SUM(C19:C118),0)</f>
        <v/>
      </c>
      <c r="E76" s="17">
        <f>IF(SUM(B19:B118)&gt;0,B76/SUM(B19:B118),0)</f>
        <v/>
      </c>
    </row>
    <row r="77">
      <c r="A77" s="12" t="n">
        <v>59</v>
      </c>
      <c r="B77" s="13">
        <f>IF(A77&lt;=$B$5,$B$7^A77/$B$3^(A77-1),0)</f>
        <v/>
      </c>
      <c r="C77" s="13">
        <f>A77*B77</f>
        <v/>
      </c>
      <c r="D77" s="14">
        <f>IF(SUM(C19:C118)&gt;0,C77/SUM(C19:C118),0)</f>
        <v/>
      </c>
      <c r="E77" s="14">
        <f>IF(SUM(B19:B118)&gt;0,B77/SUM(B19:B118),0)</f>
        <v/>
      </c>
    </row>
    <row r="78">
      <c r="A78" s="15" t="n">
        <v>60</v>
      </c>
      <c r="B78" s="16">
        <f>IF(A78&lt;=$B$5,$B$7^A78/$B$3^(A78-1),0)</f>
        <v/>
      </c>
      <c r="C78" s="16">
        <f>A78*B78</f>
        <v/>
      </c>
      <c r="D78" s="17">
        <f>IF(SUM(C19:C118)&gt;0,C78/SUM(C19:C118),0)</f>
        <v/>
      </c>
      <c r="E78" s="17">
        <f>IF(SUM(B19:B118)&gt;0,B78/SUM(B19:B118),0)</f>
        <v/>
      </c>
    </row>
    <row r="79">
      <c r="A79" s="12" t="n">
        <v>61</v>
      </c>
      <c r="B79" s="13">
        <f>IF(A79&lt;=$B$5,$B$7^A79/$B$3^(A79-1),0)</f>
        <v/>
      </c>
      <c r="C79" s="13">
        <f>A79*B79</f>
        <v/>
      </c>
      <c r="D79" s="14">
        <f>IF(SUM(C19:C118)&gt;0,C79/SUM(C19:C118),0)</f>
        <v/>
      </c>
      <c r="E79" s="14">
        <f>IF(SUM(B19:B118)&gt;0,B79/SUM(B19:B118),0)</f>
        <v/>
      </c>
    </row>
    <row r="80">
      <c r="A80" s="15" t="n">
        <v>62</v>
      </c>
      <c r="B80" s="16">
        <f>IF(A80&lt;=$B$5,$B$7^A80/$B$3^(A80-1),0)</f>
        <v/>
      </c>
      <c r="C80" s="16">
        <f>A80*B80</f>
        <v/>
      </c>
      <c r="D80" s="17">
        <f>IF(SUM(C19:C118)&gt;0,C80/SUM(C19:C118),0)</f>
        <v/>
      </c>
      <c r="E80" s="17">
        <f>IF(SUM(B19:B118)&gt;0,B80/SUM(B19:B118),0)</f>
        <v/>
      </c>
    </row>
    <row r="81">
      <c r="A81" s="12" t="n">
        <v>63</v>
      </c>
      <c r="B81" s="13">
        <f>IF(A81&lt;=$B$5,$B$7^A81/$B$3^(A81-1),0)</f>
        <v/>
      </c>
      <c r="C81" s="13">
        <f>A81*B81</f>
        <v/>
      </c>
      <c r="D81" s="14">
        <f>IF(SUM(C19:C118)&gt;0,C81/SUM(C19:C118),0)</f>
        <v/>
      </c>
      <c r="E81" s="14">
        <f>IF(SUM(B19:B118)&gt;0,B81/SUM(B19:B118),0)</f>
        <v/>
      </c>
    </row>
    <row r="82">
      <c r="A82" s="15" t="n">
        <v>64</v>
      </c>
      <c r="B82" s="16">
        <f>IF(A82&lt;=$B$5,$B$7^A82/$B$3^(A82-1),0)</f>
        <v/>
      </c>
      <c r="C82" s="16">
        <f>A82*B82</f>
        <v/>
      </c>
      <c r="D82" s="17">
        <f>IF(SUM(C19:C118)&gt;0,C82/SUM(C19:C118),0)</f>
        <v/>
      </c>
      <c r="E82" s="17">
        <f>IF(SUM(B19:B118)&gt;0,B82/SUM(B19:B118),0)</f>
        <v/>
      </c>
    </row>
    <row r="83">
      <c r="A83" s="12" t="n">
        <v>65</v>
      </c>
      <c r="B83" s="13">
        <f>IF(A83&lt;=$B$5,$B$7^A83/$B$3^(A83-1),0)</f>
        <v/>
      </c>
      <c r="C83" s="13">
        <f>A83*B83</f>
        <v/>
      </c>
      <c r="D83" s="14">
        <f>IF(SUM(C19:C118)&gt;0,C83/SUM(C19:C118),0)</f>
        <v/>
      </c>
      <c r="E83" s="14">
        <f>IF(SUM(B19:B118)&gt;0,B83/SUM(B19:B118),0)</f>
        <v/>
      </c>
    </row>
    <row r="84">
      <c r="A84" s="15" t="n">
        <v>66</v>
      </c>
      <c r="B84" s="16">
        <f>IF(A84&lt;=$B$5,$B$7^A84/$B$3^(A84-1),0)</f>
        <v/>
      </c>
      <c r="C84" s="16">
        <f>A84*B84</f>
        <v/>
      </c>
      <c r="D84" s="17">
        <f>IF(SUM(C19:C118)&gt;0,C84/SUM(C19:C118),0)</f>
        <v/>
      </c>
      <c r="E84" s="17">
        <f>IF(SUM(B19:B118)&gt;0,B84/SUM(B19:B118),0)</f>
        <v/>
      </c>
    </row>
    <row r="85">
      <c r="A85" s="12" t="n">
        <v>67</v>
      </c>
      <c r="B85" s="13">
        <f>IF(A85&lt;=$B$5,$B$7^A85/$B$3^(A85-1),0)</f>
        <v/>
      </c>
      <c r="C85" s="13">
        <f>A85*B85</f>
        <v/>
      </c>
      <c r="D85" s="14">
        <f>IF(SUM(C19:C118)&gt;0,C85/SUM(C19:C118),0)</f>
        <v/>
      </c>
      <c r="E85" s="14">
        <f>IF(SUM(B19:B118)&gt;0,B85/SUM(B19:B118),0)</f>
        <v/>
      </c>
    </row>
    <row r="86">
      <c r="A86" s="15" t="n">
        <v>68</v>
      </c>
      <c r="B86" s="16">
        <f>IF(A86&lt;=$B$5,$B$7^A86/$B$3^(A86-1),0)</f>
        <v/>
      </c>
      <c r="C86" s="16">
        <f>A86*B86</f>
        <v/>
      </c>
      <c r="D86" s="17">
        <f>IF(SUM(C19:C118)&gt;0,C86/SUM(C19:C118),0)</f>
        <v/>
      </c>
      <c r="E86" s="17">
        <f>IF(SUM(B19:B118)&gt;0,B86/SUM(B19:B118),0)</f>
        <v/>
      </c>
    </row>
    <row r="87">
      <c r="A87" s="12" t="n">
        <v>69</v>
      </c>
      <c r="B87" s="13">
        <f>IF(A87&lt;=$B$5,$B$7^A87/$B$3^(A87-1),0)</f>
        <v/>
      </c>
      <c r="C87" s="13">
        <f>A87*B87</f>
        <v/>
      </c>
      <c r="D87" s="14">
        <f>IF(SUM(C19:C118)&gt;0,C87/SUM(C19:C118),0)</f>
        <v/>
      </c>
      <c r="E87" s="14">
        <f>IF(SUM(B19:B118)&gt;0,B87/SUM(B19:B118),0)</f>
        <v/>
      </c>
    </row>
    <row r="88">
      <c r="A88" s="15" t="n">
        <v>70</v>
      </c>
      <c r="B88" s="16">
        <f>IF(A88&lt;=$B$5,$B$7^A88/$B$3^(A88-1),0)</f>
        <v/>
      </c>
      <c r="C88" s="16">
        <f>A88*B88</f>
        <v/>
      </c>
      <c r="D88" s="17">
        <f>IF(SUM(C19:C118)&gt;0,C88/SUM(C19:C118),0)</f>
        <v/>
      </c>
      <c r="E88" s="17">
        <f>IF(SUM(B19:B118)&gt;0,B88/SUM(B19:B118),0)</f>
        <v/>
      </c>
    </row>
    <row r="89">
      <c r="A89" s="12" t="n">
        <v>71</v>
      </c>
      <c r="B89" s="13">
        <f>IF(A89&lt;=$B$5,$B$7^A89/$B$3^(A89-1),0)</f>
        <v/>
      </c>
      <c r="C89" s="13">
        <f>A89*B89</f>
        <v/>
      </c>
      <c r="D89" s="14">
        <f>IF(SUM(C19:C118)&gt;0,C89/SUM(C19:C118),0)</f>
        <v/>
      </c>
      <c r="E89" s="14">
        <f>IF(SUM(B19:B118)&gt;0,B89/SUM(B19:B118),0)</f>
        <v/>
      </c>
    </row>
    <row r="90">
      <c r="A90" s="15" t="n">
        <v>72</v>
      </c>
      <c r="B90" s="16">
        <f>IF(A90&lt;=$B$5,$B$7^A90/$B$3^(A90-1),0)</f>
        <v/>
      </c>
      <c r="C90" s="16">
        <f>A90*B90</f>
        <v/>
      </c>
      <c r="D90" s="17">
        <f>IF(SUM(C19:C118)&gt;0,C90/SUM(C19:C118),0)</f>
        <v/>
      </c>
      <c r="E90" s="17">
        <f>IF(SUM(B19:B118)&gt;0,B90/SUM(B19:B118),0)</f>
        <v/>
      </c>
    </row>
    <row r="91">
      <c r="A91" s="12" t="n">
        <v>73</v>
      </c>
      <c r="B91" s="13">
        <f>IF(A91&lt;=$B$5,$B$7^A91/$B$3^(A91-1),0)</f>
        <v/>
      </c>
      <c r="C91" s="13">
        <f>A91*B91</f>
        <v/>
      </c>
      <c r="D91" s="14">
        <f>IF(SUM(C19:C118)&gt;0,C91/SUM(C19:C118),0)</f>
        <v/>
      </c>
      <c r="E91" s="14">
        <f>IF(SUM(B19:B118)&gt;0,B91/SUM(B19:B118),0)</f>
        <v/>
      </c>
    </row>
    <row r="92">
      <c r="A92" s="15" t="n">
        <v>74</v>
      </c>
      <c r="B92" s="16">
        <f>IF(A92&lt;=$B$5,$B$7^A92/$B$3^(A92-1),0)</f>
        <v/>
      </c>
      <c r="C92" s="16">
        <f>A92*B92</f>
        <v/>
      </c>
      <c r="D92" s="17">
        <f>IF(SUM(C19:C118)&gt;0,C92/SUM(C19:C118),0)</f>
        <v/>
      </c>
      <c r="E92" s="17">
        <f>IF(SUM(B19:B118)&gt;0,B92/SUM(B19:B118),0)</f>
        <v/>
      </c>
    </row>
    <row r="93">
      <c r="A93" s="12" t="n">
        <v>75</v>
      </c>
      <c r="B93" s="13">
        <f>IF(A93&lt;=$B$5,$B$7^A93/$B$3^(A93-1),0)</f>
        <v/>
      </c>
      <c r="C93" s="13">
        <f>A93*B93</f>
        <v/>
      </c>
      <c r="D93" s="14">
        <f>IF(SUM(C19:C118)&gt;0,C93/SUM(C19:C118),0)</f>
        <v/>
      </c>
      <c r="E93" s="14">
        <f>IF(SUM(B19:B118)&gt;0,B93/SUM(B19:B118),0)</f>
        <v/>
      </c>
    </row>
    <row r="94">
      <c r="A94" s="15" t="n">
        <v>76</v>
      </c>
      <c r="B94" s="16">
        <f>IF(A94&lt;=$B$5,$B$7^A94/$B$3^(A94-1),0)</f>
        <v/>
      </c>
      <c r="C94" s="16">
        <f>A94*B94</f>
        <v/>
      </c>
      <c r="D94" s="17">
        <f>IF(SUM(C19:C118)&gt;0,C94/SUM(C19:C118),0)</f>
        <v/>
      </c>
      <c r="E94" s="17">
        <f>IF(SUM(B19:B118)&gt;0,B94/SUM(B19:B118),0)</f>
        <v/>
      </c>
    </row>
    <row r="95">
      <c r="A95" s="12" t="n">
        <v>77</v>
      </c>
      <c r="B95" s="13">
        <f>IF(A95&lt;=$B$5,$B$7^A95/$B$3^(A95-1),0)</f>
        <v/>
      </c>
      <c r="C95" s="13">
        <f>A95*B95</f>
        <v/>
      </c>
      <c r="D95" s="14">
        <f>IF(SUM(C19:C118)&gt;0,C95/SUM(C19:C118),0)</f>
        <v/>
      </c>
      <c r="E95" s="14">
        <f>IF(SUM(B19:B118)&gt;0,B95/SUM(B19:B118),0)</f>
        <v/>
      </c>
    </row>
    <row r="96">
      <c r="A96" s="15" t="n">
        <v>78</v>
      </c>
      <c r="B96" s="16">
        <f>IF(A96&lt;=$B$5,$B$7^A96/$B$3^(A96-1),0)</f>
        <v/>
      </c>
      <c r="C96" s="16">
        <f>A96*B96</f>
        <v/>
      </c>
      <c r="D96" s="17">
        <f>IF(SUM(C19:C118)&gt;0,C96/SUM(C19:C118),0)</f>
        <v/>
      </c>
      <c r="E96" s="17">
        <f>IF(SUM(B19:B118)&gt;0,B96/SUM(B19:B118),0)</f>
        <v/>
      </c>
    </row>
    <row r="97">
      <c r="A97" s="12" t="n">
        <v>79</v>
      </c>
      <c r="B97" s="13">
        <f>IF(A97&lt;=$B$5,$B$7^A97/$B$3^(A97-1),0)</f>
        <v/>
      </c>
      <c r="C97" s="13">
        <f>A97*B97</f>
        <v/>
      </c>
      <c r="D97" s="14">
        <f>IF(SUM(C19:C118)&gt;0,C97/SUM(C19:C118),0)</f>
        <v/>
      </c>
      <c r="E97" s="14">
        <f>IF(SUM(B19:B118)&gt;0,B97/SUM(B19:B118),0)</f>
        <v/>
      </c>
    </row>
    <row r="98">
      <c r="A98" s="15" t="n">
        <v>80</v>
      </c>
      <c r="B98" s="16">
        <f>IF(A98&lt;=$B$5,$B$7^A98/$B$3^(A98-1),0)</f>
        <v/>
      </c>
      <c r="C98" s="16">
        <f>A98*B98</f>
        <v/>
      </c>
      <c r="D98" s="17">
        <f>IF(SUM(C19:C118)&gt;0,C98/SUM(C19:C118),0)</f>
        <v/>
      </c>
      <c r="E98" s="17">
        <f>IF(SUM(B19:B118)&gt;0,B98/SUM(B19:B118),0)</f>
        <v/>
      </c>
    </row>
    <row r="99">
      <c r="A99" s="12" t="n">
        <v>81</v>
      </c>
      <c r="B99" s="13">
        <f>IF(A99&lt;=$B$5,$B$7^A99/$B$3^(A99-1),0)</f>
        <v/>
      </c>
      <c r="C99" s="13">
        <f>A99*B99</f>
        <v/>
      </c>
      <c r="D99" s="14">
        <f>IF(SUM(C19:C118)&gt;0,C99/SUM(C19:C118),0)</f>
        <v/>
      </c>
      <c r="E99" s="14">
        <f>IF(SUM(B19:B118)&gt;0,B99/SUM(B19:B118),0)</f>
        <v/>
      </c>
    </row>
    <row r="100">
      <c r="A100" s="15" t="n">
        <v>82</v>
      </c>
      <c r="B100" s="16">
        <f>IF(A100&lt;=$B$5,$B$7^A100/$B$3^(A100-1),0)</f>
        <v/>
      </c>
      <c r="C100" s="16">
        <f>A100*B100</f>
        <v/>
      </c>
      <c r="D100" s="17">
        <f>IF(SUM(C19:C118)&gt;0,C100/SUM(C19:C118),0)</f>
        <v/>
      </c>
      <c r="E100" s="17">
        <f>IF(SUM(B19:B118)&gt;0,B100/SUM(B19:B118),0)</f>
        <v/>
      </c>
    </row>
    <row r="101">
      <c r="A101" s="12" t="n">
        <v>83</v>
      </c>
      <c r="B101" s="13">
        <f>IF(A101&lt;=$B$5,$B$7^A101/$B$3^(A101-1),0)</f>
        <v/>
      </c>
      <c r="C101" s="13">
        <f>A101*B101</f>
        <v/>
      </c>
      <c r="D101" s="14">
        <f>IF(SUM(C19:C118)&gt;0,C101/SUM(C19:C118),0)</f>
        <v/>
      </c>
      <c r="E101" s="14">
        <f>IF(SUM(B19:B118)&gt;0,B101/SUM(B19:B118),0)</f>
        <v/>
      </c>
    </row>
    <row r="102">
      <c r="A102" s="15" t="n">
        <v>84</v>
      </c>
      <c r="B102" s="16">
        <f>IF(A102&lt;=$B$5,$B$7^A102/$B$3^(A102-1),0)</f>
        <v/>
      </c>
      <c r="C102" s="16">
        <f>A102*B102</f>
        <v/>
      </c>
      <c r="D102" s="17">
        <f>IF(SUM(C19:C118)&gt;0,C102/SUM(C19:C118),0)</f>
        <v/>
      </c>
      <c r="E102" s="17">
        <f>IF(SUM(B19:B118)&gt;0,B102/SUM(B19:B118),0)</f>
        <v/>
      </c>
    </row>
    <row r="103">
      <c r="A103" s="12" t="n">
        <v>85</v>
      </c>
      <c r="B103" s="13">
        <f>IF(A103&lt;=$B$5,$B$7^A103/$B$3^(A103-1),0)</f>
        <v/>
      </c>
      <c r="C103" s="13">
        <f>A103*B103</f>
        <v/>
      </c>
      <c r="D103" s="14">
        <f>IF(SUM(C19:C118)&gt;0,C103/SUM(C19:C118),0)</f>
        <v/>
      </c>
      <c r="E103" s="14">
        <f>IF(SUM(B19:B118)&gt;0,B103/SUM(B19:B118),0)</f>
        <v/>
      </c>
    </row>
    <row r="104">
      <c r="A104" s="15" t="n">
        <v>86</v>
      </c>
      <c r="B104" s="16">
        <f>IF(A104&lt;=$B$5,$B$7^A104/$B$3^(A104-1),0)</f>
        <v/>
      </c>
      <c r="C104" s="16">
        <f>A104*B104</f>
        <v/>
      </c>
      <c r="D104" s="17">
        <f>IF(SUM(C19:C118)&gt;0,C104/SUM(C19:C118),0)</f>
        <v/>
      </c>
      <c r="E104" s="17">
        <f>IF(SUM(B19:B118)&gt;0,B104/SUM(B19:B118),0)</f>
        <v/>
      </c>
    </row>
    <row r="105">
      <c r="A105" s="12" t="n">
        <v>87</v>
      </c>
      <c r="B105" s="13">
        <f>IF(A105&lt;=$B$5,$B$7^A105/$B$3^(A105-1),0)</f>
        <v/>
      </c>
      <c r="C105" s="13">
        <f>A105*B105</f>
        <v/>
      </c>
      <c r="D105" s="14">
        <f>IF(SUM(C19:C118)&gt;0,C105/SUM(C19:C118),0)</f>
        <v/>
      </c>
      <c r="E105" s="14">
        <f>IF(SUM(B19:B118)&gt;0,B105/SUM(B19:B118),0)</f>
        <v/>
      </c>
    </row>
    <row r="106">
      <c r="A106" s="15" t="n">
        <v>88</v>
      </c>
      <c r="B106" s="16">
        <f>IF(A106&lt;=$B$5,$B$7^A106/$B$3^(A106-1),0)</f>
        <v/>
      </c>
      <c r="C106" s="16">
        <f>A106*B106</f>
        <v/>
      </c>
      <c r="D106" s="17">
        <f>IF(SUM(C19:C118)&gt;0,C106/SUM(C19:C118),0)</f>
        <v/>
      </c>
      <c r="E106" s="17">
        <f>IF(SUM(B19:B118)&gt;0,B106/SUM(B19:B118),0)</f>
        <v/>
      </c>
    </row>
    <row r="107">
      <c r="A107" s="12" t="n">
        <v>89</v>
      </c>
      <c r="B107" s="13">
        <f>IF(A107&lt;=$B$5,$B$7^A107/$B$3^(A107-1),0)</f>
        <v/>
      </c>
      <c r="C107" s="13">
        <f>A107*B107</f>
        <v/>
      </c>
      <c r="D107" s="14">
        <f>IF(SUM(C19:C118)&gt;0,C107/SUM(C19:C118),0)</f>
        <v/>
      </c>
      <c r="E107" s="14">
        <f>IF(SUM(B19:B118)&gt;0,B107/SUM(B19:B118),0)</f>
        <v/>
      </c>
    </row>
    <row r="108">
      <c r="A108" s="15" t="n">
        <v>90</v>
      </c>
      <c r="B108" s="16">
        <f>IF(A108&lt;=$B$5,$B$7^A108/$B$3^(A108-1),0)</f>
        <v/>
      </c>
      <c r="C108" s="16">
        <f>A108*B108</f>
        <v/>
      </c>
      <c r="D108" s="17">
        <f>IF(SUM(C19:C118)&gt;0,C108/SUM(C19:C118),0)</f>
        <v/>
      </c>
      <c r="E108" s="17">
        <f>IF(SUM(B19:B118)&gt;0,B108/SUM(B19:B118),0)</f>
        <v/>
      </c>
    </row>
    <row r="109">
      <c r="A109" s="12" t="n">
        <v>91</v>
      </c>
      <c r="B109" s="13">
        <f>IF(A109&lt;=$B$5,$B$7^A109/$B$3^(A109-1),0)</f>
        <v/>
      </c>
      <c r="C109" s="13">
        <f>A109*B109</f>
        <v/>
      </c>
      <c r="D109" s="14">
        <f>IF(SUM(C19:C118)&gt;0,C109/SUM(C19:C118),0)</f>
        <v/>
      </c>
      <c r="E109" s="14">
        <f>IF(SUM(B19:B118)&gt;0,B109/SUM(B19:B118),0)</f>
        <v/>
      </c>
    </row>
    <row r="110">
      <c r="A110" s="15" t="n">
        <v>92</v>
      </c>
      <c r="B110" s="16">
        <f>IF(A110&lt;=$B$5,$B$7^A110/$B$3^(A110-1),0)</f>
        <v/>
      </c>
      <c r="C110" s="16">
        <f>A110*B110</f>
        <v/>
      </c>
      <c r="D110" s="17">
        <f>IF(SUM(C19:C118)&gt;0,C110/SUM(C19:C118),0)</f>
        <v/>
      </c>
      <c r="E110" s="17">
        <f>IF(SUM(B19:B118)&gt;0,B110/SUM(B19:B118),0)</f>
        <v/>
      </c>
    </row>
    <row r="111">
      <c r="A111" s="12" t="n">
        <v>93</v>
      </c>
      <c r="B111" s="13">
        <f>IF(A111&lt;=$B$5,$B$7^A111/$B$3^(A111-1),0)</f>
        <v/>
      </c>
      <c r="C111" s="13">
        <f>A111*B111</f>
        <v/>
      </c>
      <c r="D111" s="14">
        <f>IF(SUM(C19:C118)&gt;0,C111/SUM(C19:C118),0)</f>
        <v/>
      </c>
      <c r="E111" s="14">
        <f>IF(SUM(B19:B118)&gt;0,B111/SUM(B19:B118),0)</f>
        <v/>
      </c>
    </row>
    <row r="112">
      <c r="A112" s="15" t="n">
        <v>94</v>
      </c>
      <c r="B112" s="16">
        <f>IF(A112&lt;=$B$5,$B$7^A112/$B$3^(A112-1),0)</f>
        <v/>
      </c>
      <c r="C112" s="16">
        <f>A112*B112</f>
        <v/>
      </c>
      <c r="D112" s="17">
        <f>IF(SUM(C19:C118)&gt;0,C112/SUM(C19:C118),0)</f>
        <v/>
      </c>
      <c r="E112" s="17">
        <f>IF(SUM(B19:B118)&gt;0,B112/SUM(B19:B118),0)</f>
        <v/>
      </c>
    </row>
    <row r="113">
      <c r="A113" s="12" t="n">
        <v>95</v>
      </c>
      <c r="B113" s="13">
        <f>IF(A113&lt;=$B$5,$B$7^A113/$B$3^(A113-1),0)</f>
        <v/>
      </c>
      <c r="C113" s="13">
        <f>A113*B113</f>
        <v/>
      </c>
      <c r="D113" s="14">
        <f>IF(SUM(C19:C118)&gt;0,C113/SUM(C19:C118),0)</f>
        <v/>
      </c>
      <c r="E113" s="14">
        <f>IF(SUM(B19:B118)&gt;0,B113/SUM(B19:B118),0)</f>
        <v/>
      </c>
    </row>
    <row r="114">
      <c r="A114" s="15" t="n">
        <v>96</v>
      </c>
      <c r="B114" s="16">
        <f>IF(A114&lt;=$B$5,$B$7^A114/$B$3^(A114-1),0)</f>
        <v/>
      </c>
      <c r="C114" s="16">
        <f>A114*B114</f>
        <v/>
      </c>
      <c r="D114" s="17">
        <f>IF(SUM(C19:C118)&gt;0,C114/SUM(C19:C118),0)</f>
        <v/>
      </c>
      <c r="E114" s="17">
        <f>IF(SUM(B19:B118)&gt;0,B114/SUM(B19:B118),0)</f>
        <v/>
      </c>
    </row>
    <row r="115">
      <c r="A115" s="12" t="n">
        <v>97</v>
      </c>
      <c r="B115" s="13">
        <f>IF(A115&lt;=$B$5,$B$7^A115/$B$3^(A115-1),0)</f>
        <v/>
      </c>
      <c r="C115" s="13">
        <f>A115*B115</f>
        <v/>
      </c>
      <c r="D115" s="14">
        <f>IF(SUM(C19:C118)&gt;0,C115/SUM(C19:C118),0)</f>
        <v/>
      </c>
      <c r="E115" s="14">
        <f>IF(SUM(B19:B118)&gt;0,B115/SUM(B19:B118),0)</f>
        <v/>
      </c>
    </row>
    <row r="116">
      <c r="A116" s="15" t="n">
        <v>98</v>
      </c>
      <c r="B116" s="16">
        <f>IF(A116&lt;=$B$5,$B$7^A116/$B$3^(A116-1),0)</f>
        <v/>
      </c>
      <c r="C116" s="16">
        <f>A116*B116</f>
        <v/>
      </c>
      <c r="D116" s="17">
        <f>IF(SUM(C19:C118)&gt;0,C116/SUM(C19:C118),0)</f>
        <v/>
      </c>
      <c r="E116" s="17">
        <f>IF(SUM(B19:B118)&gt;0,B116/SUM(B19:B118),0)</f>
        <v/>
      </c>
    </row>
    <row r="117">
      <c r="A117" s="12" t="n">
        <v>99</v>
      </c>
      <c r="B117" s="13">
        <f>IF(A117&lt;=$B$5,$B$7^A117/$B$3^(A117-1),0)</f>
        <v/>
      </c>
      <c r="C117" s="13">
        <f>A117*B117</f>
        <v/>
      </c>
      <c r="D117" s="14">
        <f>IF(SUM(C19:C118)&gt;0,C117/SUM(C19:C118),0)</f>
        <v/>
      </c>
      <c r="E117" s="14">
        <f>IF(SUM(B19:B118)&gt;0,B117/SUM(B19:B118),0)</f>
        <v/>
      </c>
    </row>
    <row r="118">
      <c r="A118" s="15" t="n">
        <v>100</v>
      </c>
      <c r="B118" s="16">
        <f>IF(A118&lt;=$B$5,$B$7^A118/$B$3^(A118-1),0)</f>
        <v/>
      </c>
      <c r="C118" s="16">
        <f>A118*B118</f>
        <v/>
      </c>
      <c r="D118" s="17">
        <f>IF(SUM(C19:C118)&gt;0,C118/SUM(C19:C118),0)</f>
        <v/>
      </c>
      <c r="E118" s="17">
        <f>IF(SUM(B19:B118)&gt;0,B118/SUM(B19:B118),0)</f>
        <v/>
      </c>
    </row>
    <row r="119">
      <c r="A119" s="18" t="inlineStr">
        <is>
          <t>TOTAL</t>
        </is>
      </c>
      <c r="B119" s="19">
        <f>SUM(B19:B118)</f>
        <v/>
      </c>
      <c r="C119" s="19">
        <f>SUM(C19:C118)</f>
        <v/>
      </c>
      <c r="D119" s="20">
        <f>SUM(D19:D118)</f>
        <v/>
      </c>
      <c r="E119" s="20">
        <f>SUM(E19:E118)</f>
        <v/>
      </c>
    </row>
    <row r="121">
      <c r="A121" s="21" t="inlineStr">
        <is>
          <t>Number-weighted avg size &lt;n&gt;</t>
        </is>
      </c>
      <c r="B121" s="22">
        <f>IF(SUM(B19:B118)&gt;0,SUMPRODUCT(A19:A118,B19:B118)/SUM(B19:B118),0)</f>
        <v/>
      </c>
      <c r="C121" s="4">
        <f> Σ n·[An] / Σ [An]</f>
        <v/>
      </c>
    </row>
    <row r="122">
      <c r="A122" s="21" t="inlineStr">
        <is>
          <t>Mass-weighted avg size &lt;n&gt;_mass</t>
        </is>
      </c>
      <c r="B122" s="22">
        <f>IF(SUM(C19:C118)&gt;0,SUMPRODUCT(A19:A118,C19:C118)/SUM(C19:C118),0)</f>
        <v/>
      </c>
      <c r="C122" s="4">
        <f> Σ n²·[An] / Σ n·[An]</f>
        <v/>
      </c>
    </row>
  </sheetData>
  <mergeCells count="8">
    <mergeCell ref="A12:E12"/>
    <mergeCell ref="A16:E16"/>
    <mergeCell ref="A15:E15"/>
    <mergeCell ref="A10:E10"/>
    <mergeCell ref="A11:E11"/>
    <mergeCell ref="A1:E1"/>
    <mergeCell ref="A13:E13"/>
    <mergeCell ref="A14:E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2" customWidth="1" min="1" max="1"/>
    <col width="42" customWidth="1" min="2" max="2"/>
  </cols>
  <sheetData>
    <row r="1">
      <c r="A1" s="23" t="inlineStr">
        <is>
          <t>Isodesmic (Linear Filament) Model</t>
        </is>
      </c>
    </row>
    <row r="2">
      <c r="A2" s="24" t="inlineStr"/>
    </row>
    <row r="3">
      <c r="A3" s="25" t="inlineStr">
        <is>
          <t>Equilibrium reactions:</t>
        </is>
      </c>
    </row>
    <row r="4">
      <c r="A4" s="24" t="inlineStr">
        <is>
          <t xml:space="preserve">  A1 + A1 ⇌ A2</t>
        </is>
      </c>
      <c r="B4" t="inlineStr">
        <is>
          <t>Kd = [A1]² / [A2]</t>
        </is>
      </c>
    </row>
    <row r="5">
      <c r="A5" s="24" t="inlineStr">
        <is>
          <t xml:space="preserve">  A2 + A1 ⇌ A3</t>
        </is>
      </c>
      <c r="B5" t="inlineStr">
        <is>
          <t>Kd = [A2][A1] / [A3]</t>
        </is>
      </c>
    </row>
    <row r="6">
      <c r="A6" s="24" t="inlineStr">
        <is>
          <t xml:space="preserve">  …</t>
        </is>
      </c>
      <c r="B6" t="inlineStr"/>
    </row>
    <row r="7">
      <c r="A7" s="24" t="inlineStr">
        <is>
          <t xml:space="preserve">  A(n-1) + A1 ⇌ An</t>
        </is>
      </c>
      <c r="B7" t="inlineStr">
        <is>
          <t>Kd = [A(n-1)][A1] / [An]</t>
        </is>
      </c>
    </row>
    <row r="8">
      <c r="A8" s="24" t="inlineStr"/>
    </row>
    <row r="9">
      <c r="A9" s="25" t="inlineStr">
        <is>
          <t>General solution:</t>
        </is>
      </c>
      <c r="B9" t="inlineStr">
        <is>
          <t>[An] = [A1]ⁿ / Kd^(n−1)</t>
        </is>
      </c>
    </row>
    <row r="10">
      <c r="A10" s="25" t="inlineStr">
        <is>
          <t>Conservation:</t>
        </is>
      </c>
      <c r="B10" t="inlineStr">
        <is>
          <t>C_total = Σ n·[An]  (n = 1…Nmax)</t>
        </is>
      </c>
    </row>
    <row r="11">
      <c r="A11" s="24" t="inlineStr"/>
    </row>
    <row r="12">
      <c r="A12" s="25" t="inlineStr">
        <is>
          <t>Weighted average sizes:</t>
        </is>
      </c>
    </row>
    <row r="13">
      <c r="A13" s="24" t="inlineStr">
        <is>
          <t xml:space="preserve">  Number-weighted</t>
        </is>
      </c>
      <c r="B13" t="inlineStr">
        <is>
          <t>&lt;n&gt; = Σ n·[An] / Σ [An]</t>
        </is>
      </c>
    </row>
    <row r="14">
      <c r="A14" s="24" t="inlineStr">
        <is>
          <t xml:space="preserve">  Mass-weighted</t>
        </is>
      </c>
      <c r="B14" t="inlineStr">
        <is>
          <t>&lt;n&gt;_mass = Σ n²·[An] / Σ n·[An]</t>
        </is>
      </c>
    </row>
    <row r="15">
      <c r="A15" s="24" t="inlineStr"/>
    </row>
    <row r="16">
      <c r="A16" s="24" t="inlineStr">
        <is>
          <t>[A1] is found by numerical root-finding (Python) or Goal Seek (Excel).</t>
        </is>
      </c>
    </row>
    <row r="17">
      <c r="A17" s="24" t="inlineStr">
        <is>
          <t>All higher species follow analytically from [A1].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2026-02-20T11:23:53Z</dcterms:created>
  <dcterms:modified xsi:type="dcterms:W3CDTF">2026-02-20T11:23:53Z</dcterms:modified>
</cp:coreProperties>
</file>