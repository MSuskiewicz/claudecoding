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i val="1"/>
      <color rgb="00595959"/>
    </font>
    <font>
      <b val="1"/>
      <color rgb="001F3864"/>
      <sz val="10"/>
    </font>
    <font>
      <color rgb="00404040"/>
      <sz val="9"/>
    </font>
    <font>
      <b val="1"/>
      <color rgb="00FFFFFF"/>
      <sz val="11"/>
    </font>
    <font>
      <b val="1"/>
      <color rgb="001F3864"/>
      <sz val="12"/>
    </font>
    <font/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3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0" fillId="4" borderId="2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0" fontId="0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164" fontId="2" fillId="8" borderId="1" applyAlignment="1" pivotButton="0" quotePrefix="0" xfId="0">
      <alignment horizontal="center" vertical="center"/>
    </xf>
    <xf numFmtId="10" fontId="2" fillId="8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0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Multimer Distribution (mass fraction)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'Calculator'!D18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'Calculator'!$A$19:$A$38</f>
            </numRef>
          </cat>
          <val>
            <numRef>
              <f>'Calculator'!$D$19:$D$38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n-mer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Mass fraction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2" customWidth="1" min="6" max="6"/>
    <col width="5" customWidth="1" min="7" max="7"/>
  </cols>
  <sheetData>
    <row r="1" ht="24" customHeight="1">
      <c r="A1" s="1" t="inlineStr">
        <is>
          <t>Isodesmic Multimer Equilibrium — Interactive Calculator</t>
        </is>
      </c>
    </row>
    <row r="3">
      <c r="A3" s="2" t="inlineStr">
        <is>
          <t>Kd (µM)</t>
        </is>
      </c>
      <c r="B3" s="3" t="n">
        <v>1</v>
      </c>
      <c r="C3" s="4" t="inlineStr">
        <is>
          <t>Dissociation constant (µM) — change freely</t>
        </is>
      </c>
    </row>
    <row r="4">
      <c r="A4" s="2" t="inlineStr">
        <is>
          <t>C_total (µM)</t>
        </is>
      </c>
      <c r="B4" s="3" t="n">
        <v>10</v>
      </c>
      <c r="C4" s="4" t="inlineStr">
        <is>
          <t>Total protein concentration (µM) — change freely</t>
        </is>
      </c>
    </row>
    <row r="5">
      <c r="A5" s="2" t="inlineStr">
        <is>
          <t>Max n-mer (Nmax)</t>
        </is>
      </c>
      <c r="B5" s="3" t="n">
        <v>12</v>
      </c>
      <c r="C5" s="4" t="inlineStr">
        <is>
          <t>Largest oligomer shown (2 – 20)</t>
        </is>
      </c>
    </row>
    <row r="7">
      <c r="A7" s="5" t="inlineStr">
        <is>
          <t>Free monomer [A1] (µM)</t>
        </is>
      </c>
      <c r="B7" s="6" t="n">
        <v>0.74369291</v>
      </c>
      <c r="C7" s="4" t="inlineStr">
        <is>
          <t>← solve via Goal Seek (see instructions)</t>
        </is>
      </c>
    </row>
    <row r="8">
      <c r="A8" s="7" t="inlineStr">
        <is>
          <t>Conservation check (Goal Seek → 0)</t>
        </is>
      </c>
      <c r="B8" s="8">
        <f>$B$4-SUM(C19:C38)</f>
        <v/>
      </c>
      <c r="C8" s="4" t="inlineStr">
        <is>
          <t>Use Goal Seek to set this to 0 by changing B7</t>
        </is>
      </c>
    </row>
    <row r="10">
      <c r="A10" s="9" t="inlineStr">
        <is>
          <t>HOW TO USE THIS CALCULATOR</t>
        </is>
      </c>
    </row>
    <row r="11">
      <c r="A11" s="10" t="inlineStr">
        <is>
          <t>1.  Enter Kd, C_total, Nmax in the yellow cells above.</t>
        </is>
      </c>
    </row>
    <row r="12">
      <c r="A12" s="10" t="inlineStr">
        <is>
          <t>2.  Enter an initial guess for [A1] in B7 (e.g. C_total / 10).</t>
        </is>
      </c>
    </row>
    <row r="13">
      <c r="A13" s="10" t="inlineStr">
        <is>
          <t>3.  Go to  Data  →  What-If Analysis  →  Goal Seek</t>
        </is>
      </c>
    </row>
    <row r="14">
      <c r="A14" s="10" t="inlineStr">
        <is>
          <t>4.  Set cell:  B8   |   To value:  0   |   By changing cell:  B7</t>
        </is>
      </c>
    </row>
    <row r="15">
      <c r="A15" s="10" t="inlineStr">
        <is>
          <t>5.  Click OK.  All species concentrations update automatically.</t>
        </is>
      </c>
    </row>
    <row r="16">
      <c r="A16" s="10" t="inlineStr">
        <is>
          <t>Note: columns B–E in the table are fully formula-driven.</t>
        </is>
      </c>
    </row>
    <row r="18">
      <c r="A18" s="11" t="inlineStr">
        <is>
          <t>n-mer</t>
        </is>
      </c>
      <c r="B18" s="11" t="inlineStr">
        <is>
          <t>[An] (µM)</t>
        </is>
      </c>
      <c r="C18" s="11" t="inlineStr">
        <is>
          <t>n·[An] (µM)</t>
        </is>
      </c>
      <c r="D18" s="11" t="inlineStr">
        <is>
          <t>Mass fraction</t>
        </is>
      </c>
      <c r="E18" s="11" t="inlineStr">
        <is>
          <t>Molar fraction</t>
        </is>
      </c>
    </row>
    <row r="19">
      <c r="A19" s="12" t="n">
        <v>1</v>
      </c>
      <c r="B19" s="13">
        <f>IF(A19&lt;=$B$5,$B$7^A19/$B$3^(A19-1),0)</f>
        <v/>
      </c>
      <c r="C19" s="13">
        <f>A19*B19</f>
        <v/>
      </c>
      <c r="D19" s="14">
        <f>IF(SUM(C19:C38)&gt;0,C19/SUM(C19:C38),0)</f>
        <v/>
      </c>
      <c r="E19" s="14">
        <f>IF(SUM(B19:B38)&gt;0,B19/SUM(B19:B38),0)</f>
        <v/>
      </c>
    </row>
    <row r="20">
      <c r="A20" s="15" t="n">
        <v>2</v>
      </c>
      <c r="B20" s="16">
        <f>IF(A20&lt;=$B$5,$B$7^A20/$B$3^(A20-1),0)</f>
        <v/>
      </c>
      <c r="C20" s="16">
        <f>A20*B20</f>
        <v/>
      </c>
      <c r="D20" s="17">
        <f>IF(SUM(C19:C38)&gt;0,C20/SUM(C19:C38),0)</f>
        <v/>
      </c>
      <c r="E20" s="17">
        <f>IF(SUM(B19:B38)&gt;0,B20/SUM(B19:B38),0)</f>
        <v/>
      </c>
    </row>
    <row r="21">
      <c r="A21" s="12" t="n">
        <v>3</v>
      </c>
      <c r="B21" s="13">
        <f>IF(A21&lt;=$B$5,$B$7^A21/$B$3^(A21-1),0)</f>
        <v/>
      </c>
      <c r="C21" s="13">
        <f>A21*B21</f>
        <v/>
      </c>
      <c r="D21" s="14">
        <f>IF(SUM(C19:C38)&gt;0,C21/SUM(C19:C38),0)</f>
        <v/>
      </c>
      <c r="E21" s="14">
        <f>IF(SUM(B19:B38)&gt;0,B21/SUM(B19:B38),0)</f>
        <v/>
      </c>
    </row>
    <row r="22">
      <c r="A22" s="15" t="n">
        <v>4</v>
      </c>
      <c r="B22" s="16">
        <f>IF(A22&lt;=$B$5,$B$7^A22/$B$3^(A22-1),0)</f>
        <v/>
      </c>
      <c r="C22" s="16">
        <f>A22*B22</f>
        <v/>
      </c>
      <c r="D22" s="17">
        <f>IF(SUM(C19:C38)&gt;0,C22/SUM(C19:C38),0)</f>
        <v/>
      </c>
      <c r="E22" s="17">
        <f>IF(SUM(B19:B38)&gt;0,B22/SUM(B19:B38),0)</f>
        <v/>
      </c>
    </row>
    <row r="23">
      <c r="A23" s="12" t="n">
        <v>5</v>
      </c>
      <c r="B23" s="13">
        <f>IF(A23&lt;=$B$5,$B$7^A23/$B$3^(A23-1),0)</f>
        <v/>
      </c>
      <c r="C23" s="13">
        <f>A23*B23</f>
        <v/>
      </c>
      <c r="D23" s="14">
        <f>IF(SUM(C19:C38)&gt;0,C23/SUM(C19:C38),0)</f>
        <v/>
      </c>
      <c r="E23" s="14">
        <f>IF(SUM(B19:B38)&gt;0,B23/SUM(B19:B38),0)</f>
        <v/>
      </c>
    </row>
    <row r="24">
      <c r="A24" s="15" t="n">
        <v>6</v>
      </c>
      <c r="B24" s="16">
        <f>IF(A24&lt;=$B$5,$B$7^A24/$B$3^(A24-1),0)</f>
        <v/>
      </c>
      <c r="C24" s="16">
        <f>A24*B24</f>
        <v/>
      </c>
      <c r="D24" s="17">
        <f>IF(SUM(C19:C38)&gt;0,C24/SUM(C19:C38),0)</f>
        <v/>
      </c>
      <c r="E24" s="17">
        <f>IF(SUM(B19:B38)&gt;0,B24/SUM(B19:B38),0)</f>
        <v/>
      </c>
    </row>
    <row r="25">
      <c r="A25" s="12" t="n">
        <v>7</v>
      </c>
      <c r="B25" s="13">
        <f>IF(A25&lt;=$B$5,$B$7^A25/$B$3^(A25-1),0)</f>
        <v/>
      </c>
      <c r="C25" s="13">
        <f>A25*B25</f>
        <v/>
      </c>
      <c r="D25" s="14">
        <f>IF(SUM(C19:C38)&gt;0,C25/SUM(C19:C38),0)</f>
        <v/>
      </c>
      <c r="E25" s="14">
        <f>IF(SUM(B19:B38)&gt;0,B25/SUM(B19:B38),0)</f>
        <v/>
      </c>
    </row>
    <row r="26">
      <c r="A26" s="15" t="n">
        <v>8</v>
      </c>
      <c r="B26" s="16">
        <f>IF(A26&lt;=$B$5,$B$7^A26/$B$3^(A26-1),0)</f>
        <v/>
      </c>
      <c r="C26" s="16">
        <f>A26*B26</f>
        <v/>
      </c>
      <c r="D26" s="17">
        <f>IF(SUM(C19:C38)&gt;0,C26/SUM(C19:C38),0)</f>
        <v/>
      </c>
      <c r="E26" s="17">
        <f>IF(SUM(B19:B38)&gt;0,B26/SUM(B19:B38),0)</f>
        <v/>
      </c>
    </row>
    <row r="27">
      <c r="A27" s="12" t="n">
        <v>9</v>
      </c>
      <c r="B27" s="13">
        <f>IF(A27&lt;=$B$5,$B$7^A27/$B$3^(A27-1),0)</f>
        <v/>
      </c>
      <c r="C27" s="13">
        <f>A27*B27</f>
        <v/>
      </c>
      <c r="D27" s="14">
        <f>IF(SUM(C19:C38)&gt;0,C27/SUM(C19:C38),0)</f>
        <v/>
      </c>
      <c r="E27" s="14">
        <f>IF(SUM(B19:B38)&gt;0,B27/SUM(B19:B38),0)</f>
        <v/>
      </c>
    </row>
    <row r="28">
      <c r="A28" s="15" t="n">
        <v>10</v>
      </c>
      <c r="B28" s="16">
        <f>IF(A28&lt;=$B$5,$B$7^A28/$B$3^(A28-1),0)</f>
        <v/>
      </c>
      <c r="C28" s="16">
        <f>A28*B28</f>
        <v/>
      </c>
      <c r="D28" s="17">
        <f>IF(SUM(C19:C38)&gt;0,C28/SUM(C19:C38),0)</f>
        <v/>
      </c>
      <c r="E28" s="17">
        <f>IF(SUM(B19:B38)&gt;0,B28/SUM(B19:B38),0)</f>
        <v/>
      </c>
    </row>
    <row r="29">
      <c r="A29" s="12" t="n">
        <v>11</v>
      </c>
      <c r="B29" s="13">
        <f>IF(A29&lt;=$B$5,$B$7^A29/$B$3^(A29-1),0)</f>
        <v/>
      </c>
      <c r="C29" s="13">
        <f>A29*B29</f>
        <v/>
      </c>
      <c r="D29" s="14">
        <f>IF(SUM(C19:C38)&gt;0,C29/SUM(C19:C38),0)</f>
        <v/>
      </c>
      <c r="E29" s="14">
        <f>IF(SUM(B19:B38)&gt;0,B29/SUM(B19:B38),0)</f>
        <v/>
      </c>
    </row>
    <row r="30">
      <c r="A30" s="15" t="n">
        <v>12</v>
      </c>
      <c r="B30" s="16">
        <f>IF(A30&lt;=$B$5,$B$7^A30/$B$3^(A30-1),0)</f>
        <v/>
      </c>
      <c r="C30" s="16">
        <f>A30*B30</f>
        <v/>
      </c>
      <c r="D30" s="17">
        <f>IF(SUM(C19:C38)&gt;0,C30/SUM(C19:C38),0)</f>
        <v/>
      </c>
      <c r="E30" s="17">
        <f>IF(SUM(B19:B38)&gt;0,B30/SUM(B19:B38),0)</f>
        <v/>
      </c>
    </row>
    <row r="31">
      <c r="A31" s="12" t="n">
        <v>13</v>
      </c>
      <c r="B31" s="13">
        <f>IF(A31&lt;=$B$5,$B$7^A31/$B$3^(A31-1),0)</f>
        <v/>
      </c>
      <c r="C31" s="13">
        <f>A31*B31</f>
        <v/>
      </c>
      <c r="D31" s="14">
        <f>IF(SUM(C19:C38)&gt;0,C31/SUM(C19:C38),0)</f>
        <v/>
      </c>
      <c r="E31" s="14">
        <f>IF(SUM(B19:B38)&gt;0,B31/SUM(B19:B38),0)</f>
        <v/>
      </c>
    </row>
    <row r="32">
      <c r="A32" s="15" t="n">
        <v>14</v>
      </c>
      <c r="B32" s="16">
        <f>IF(A32&lt;=$B$5,$B$7^A32/$B$3^(A32-1),0)</f>
        <v/>
      </c>
      <c r="C32" s="16">
        <f>A32*B32</f>
        <v/>
      </c>
      <c r="D32" s="17">
        <f>IF(SUM(C19:C38)&gt;0,C32/SUM(C19:C38),0)</f>
        <v/>
      </c>
      <c r="E32" s="17">
        <f>IF(SUM(B19:B38)&gt;0,B32/SUM(B19:B38),0)</f>
        <v/>
      </c>
    </row>
    <row r="33">
      <c r="A33" s="12" t="n">
        <v>15</v>
      </c>
      <c r="B33" s="13">
        <f>IF(A33&lt;=$B$5,$B$7^A33/$B$3^(A33-1),0)</f>
        <v/>
      </c>
      <c r="C33" s="13">
        <f>A33*B33</f>
        <v/>
      </c>
      <c r="D33" s="14">
        <f>IF(SUM(C19:C38)&gt;0,C33/SUM(C19:C38),0)</f>
        <v/>
      </c>
      <c r="E33" s="14">
        <f>IF(SUM(B19:B38)&gt;0,B33/SUM(B19:B38),0)</f>
        <v/>
      </c>
    </row>
    <row r="34">
      <c r="A34" s="15" t="n">
        <v>16</v>
      </c>
      <c r="B34" s="16">
        <f>IF(A34&lt;=$B$5,$B$7^A34/$B$3^(A34-1),0)</f>
        <v/>
      </c>
      <c r="C34" s="16">
        <f>A34*B34</f>
        <v/>
      </c>
      <c r="D34" s="17">
        <f>IF(SUM(C19:C38)&gt;0,C34/SUM(C19:C38),0)</f>
        <v/>
      </c>
      <c r="E34" s="17">
        <f>IF(SUM(B19:B38)&gt;0,B34/SUM(B19:B38),0)</f>
        <v/>
      </c>
    </row>
    <row r="35">
      <c r="A35" s="12" t="n">
        <v>17</v>
      </c>
      <c r="B35" s="13">
        <f>IF(A35&lt;=$B$5,$B$7^A35/$B$3^(A35-1),0)</f>
        <v/>
      </c>
      <c r="C35" s="13">
        <f>A35*B35</f>
        <v/>
      </c>
      <c r="D35" s="14">
        <f>IF(SUM(C19:C38)&gt;0,C35/SUM(C19:C38),0)</f>
        <v/>
      </c>
      <c r="E35" s="14">
        <f>IF(SUM(B19:B38)&gt;0,B35/SUM(B19:B38),0)</f>
        <v/>
      </c>
    </row>
    <row r="36">
      <c r="A36" s="15" t="n">
        <v>18</v>
      </c>
      <c r="B36" s="16">
        <f>IF(A36&lt;=$B$5,$B$7^A36/$B$3^(A36-1),0)</f>
        <v/>
      </c>
      <c r="C36" s="16">
        <f>A36*B36</f>
        <v/>
      </c>
      <c r="D36" s="17">
        <f>IF(SUM(C19:C38)&gt;0,C36/SUM(C19:C38),0)</f>
        <v/>
      </c>
      <c r="E36" s="17">
        <f>IF(SUM(B19:B38)&gt;0,B36/SUM(B19:B38),0)</f>
        <v/>
      </c>
    </row>
    <row r="37">
      <c r="A37" s="12" t="n">
        <v>19</v>
      </c>
      <c r="B37" s="13">
        <f>IF(A37&lt;=$B$5,$B$7^A37/$B$3^(A37-1),0)</f>
        <v/>
      </c>
      <c r="C37" s="13">
        <f>A37*B37</f>
        <v/>
      </c>
      <c r="D37" s="14">
        <f>IF(SUM(C19:C38)&gt;0,C37/SUM(C19:C38),0)</f>
        <v/>
      </c>
      <c r="E37" s="14">
        <f>IF(SUM(B19:B38)&gt;0,B37/SUM(B19:B38),0)</f>
        <v/>
      </c>
    </row>
    <row r="38">
      <c r="A38" s="15" t="n">
        <v>20</v>
      </c>
      <c r="B38" s="16">
        <f>IF(A38&lt;=$B$5,$B$7^A38/$B$3^(A38-1),0)</f>
        <v/>
      </c>
      <c r="C38" s="16">
        <f>A38*B38</f>
        <v/>
      </c>
      <c r="D38" s="17">
        <f>IF(SUM(C19:C38)&gt;0,C38/SUM(C19:C38),0)</f>
        <v/>
      </c>
      <c r="E38" s="17">
        <f>IF(SUM(B19:B38)&gt;0,B38/SUM(B19:B38),0)</f>
        <v/>
      </c>
    </row>
    <row r="39">
      <c r="A39" s="18" t="inlineStr">
        <is>
          <t>TOTAL</t>
        </is>
      </c>
      <c r="B39" s="19">
        <f>SUM(B19:B38)</f>
        <v/>
      </c>
      <c r="C39" s="19">
        <f>SUM(C19:C38)</f>
        <v/>
      </c>
      <c r="D39" s="20">
        <f>SUM(D19:D38)</f>
        <v/>
      </c>
      <c r="E39" s="20">
        <f>SUM(E19:E38)</f>
        <v/>
      </c>
    </row>
    <row r="41">
      <c r="A41" s="21" t="inlineStr">
        <is>
          <t>Number-weighted avg size &lt;n&gt;</t>
        </is>
      </c>
      <c r="B41" s="22">
        <f>IF(SUM(B19:B38)&gt;0,SUMPRODUCT(A19:A38,B19:B38)/SUM(B19:B38),0)</f>
        <v/>
      </c>
      <c r="C41" s="4">
        <f> Σ n·[An] / Σ [An]</f>
        <v/>
      </c>
    </row>
    <row r="42">
      <c r="A42" s="21" t="inlineStr">
        <is>
          <t>Mass-weighted avg size &lt;n&gt;_mass</t>
        </is>
      </c>
      <c r="B42" s="22">
        <f>IF(SUM(C19:C38)&gt;0,SUMPRODUCT(A19:A38,C19:C38)/SUM(C19:C38),0)</f>
        <v/>
      </c>
      <c r="C42" s="4">
        <f> Σ n²·[An] / Σ n·[An]</f>
        <v/>
      </c>
    </row>
  </sheetData>
  <mergeCells count="8">
    <mergeCell ref="A12:E12"/>
    <mergeCell ref="A16:E16"/>
    <mergeCell ref="A15:E15"/>
    <mergeCell ref="A10:E10"/>
    <mergeCell ref="A11:E11"/>
    <mergeCell ref="A1:E1"/>
    <mergeCell ref="A13:E13"/>
    <mergeCell ref="A14:E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42" customWidth="1" min="2" max="2"/>
  </cols>
  <sheetData>
    <row r="1">
      <c r="A1" s="23" t="inlineStr">
        <is>
          <t>Isodesmic (Linear Filament) Model</t>
        </is>
      </c>
    </row>
    <row r="2">
      <c r="A2" s="24" t="inlineStr"/>
    </row>
    <row r="3">
      <c r="A3" s="25" t="inlineStr">
        <is>
          <t>Equilibrium reactions:</t>
        </is>
      </c>
    </row>
    <row r="4">
      <c r="A4" s="24" t="inlineStr">
        <is>
          <t xml:space="preserve">  A1 + A1 ⇌ A2</t>
        </is>
      </c>
      <c r="B4" t="inlineStr">
        <is>
          <t>Kd = [A1]² / [A2]</t>
        </is>
      </c>
    </row>
    <row r="5">
      <c r="A5" s="24" t="inlineStr">
        <is>
          <t xml:space="preserve">  A2 + A1 ⇌ A3</t>
        </is>
      </c>
      <c r="B5" t="inlineStr">
        <is>
          <t>Kd = [A2][A1] / [A3]</t>
        </is>
      </c>
    </row>
    <row r="6">
      <c r="A6" s="24" t="inlineStr">
        <is>
          <t xml:space="preserve">  …</t>
        </is>
      </c>
      <c r="B6" t="inlineStr"/>
    </row>
    <row r="7">
      <c r="A7" s="24" t="inlineStr">
        <is>
          <t xml:space="preserve">  A(n-1) + A1 ⇌ An</t>
        </is>
      </c>
      <c r="B7" t="inlineStr">
        <is>
          <t>Kd = [A(n-1)][A1] / [An]</t>
        </is>
      </c>
    </row>
    <row r="8">
      <c r="A8" s="24" t="inlineStr"/>
    </row>
    <row r="9">
      <c r="A9" s="25" t="inlineStr">
        <is>
          <t>General solution:</t>
        </is>
      </c>
      <c r="B9" t="inlineStr">
        <is>
          <t>[An] = [A1]ⁿ / Kd^(n−1)</t>
        </is>
      </c>
    </row>
    <row r="10">
      <c r="A10" s="25" t="inlineStr">
        <is>
          <t>Conservation:</t>
        </is>
      </c>
      <c r="B10" t="inlineStr">
        <is>
          <t>C_total = Σ n·[An]  (n = 1…Nmax)</t>
        </is>
      </c>
    </row>
    <row r="11">
      <c r="A11" s="24" t="inlineStr"/>
    </row>
    <row r="12">
      <c r="A12" s="25" t="inlineStr">
        <is>
          <t>Weighted average sizes:</t>
        </is>
      </c>
    </row>
    <row r="13">
      <c r="A13" s="24" t="inlineStr">
        <is>
          <t xml:space="preserve">  Number-weighted</t>
        </is>
      </c>
      <c r="B13" t="inlineStr">
        <is>
          <t>&lt;n&gt; = Σ n·[An] / Σ [An]</t>
        </is>
      </c>
    </row>
    <row r="14">
      <c r="A14" s="24" t="inlineStr">
        <is>
          <t xml:space="preserve">  Mass-weighted</t>
        </is>
      </c>
      <c r="B14" t="inlineStr">
        <is>
          <t>&lt;n&gt;_mass = Σ n²·[An] / Σ n·[An]</t>
        </is>
      </c>
    </row>
    <row r="15">
      <c r="A15" s="24" t="inlineStr"/>
    </row>
    <row r="16">
      <c r="A16" s="24" t="inlineStr">
        <is>
          <t>[A1] is found by numerical root-finding (Python) or Goal Seek (Excel).</t>
        </is>
      </c>
    </row>
    <row r="17">
      <c r="A17" s="24" t="inlineStr">
        <is>
          <t>All higher species follow analytically from [A1].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2026-02-20T11:06:27Z</dcterms:created>
  <dcterms:modified xsi:type="dcterms:W3CDTF">2026-02-20T11:06:27Z</dcterms:modified>
</cp:coreProperties>
</file>